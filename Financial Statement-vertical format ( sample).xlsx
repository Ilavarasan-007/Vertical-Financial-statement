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_Control" sheetId="1" r:id="rId5"/>
    <sheet state="visible" name="Statement_of_P&amp;L" sheetId="2" r:id="rId6"/>
    <sheet state="visible" name="Balance_Sheet" sheetId="3" r:id="rId7"/>
    <sheet state="visible" name="BS_Notes" sheetId="4" r:id="rId8"/>
    <sheet state="visible" name="PL_Notes" sheetId="5" r:id="rId9"/>
    <sheet state="visible" name="Cash_Flow_Statement" sheetId="6" r:id="rId10"/>
  </sheets>
  <definedNames/>
  <calcPr/>
</workbook>
</file>

<file path=xl/sharedStrings.xml><?xml version="1.0" encoding="utf-8"?>
<sst xmlns="http://schemas.openxmlformats.org/spreadsheetml/2006/main" count="400" uniqueCount="216">
  <si>
    <t>NON-CORPORATE ENTITY FINANCIAL STATEMENTS - CONTROL PANEL</t>
  </si>
  <si>
    <t>Configure entity details, reporting year, and master heads (Select Yes/No for each head)</t>
  </si>
  <si>
    <t>1. Basic Entity &amp; Period Settings</t>
  </si>
  <si>
    <t>Entity / Business Name:</t>
  </si>
  <si>
    <t>M/s. ABC Enterprises</t>
  </si>
  <si>
    <t>Constitution / Entity Type:</t>
  </si>
  <si>
    <t>Owners Capital Account (Note 3)</t>
  </si>
  <si>
    <t>Proprietorship</t>
  </si>
  <si>
    <t>Current Financial Year Ended (CY):</t>
  </si>
  <si>
    <t>31 March 2026</t>
  </si>
  <si>
    <t>Particulars</t>
  </si>
  <si>
    <t>Note</t>
  </si>
  <si>
    <t>Include Previous Year (PY) Column in Reports?:</t>
  </si>
  <si>
    <t>No</t>
  </si>
  <si>
    <t>Dr. (Debit Side)</t>
  </si>
  <si>
    <t>Previous Financial Year Ended (PY):</t>
  </si>
  <si>
    <t>31 March 2025</t>
  </si>
  <si>
    <t>Reporting Currency Unit:</t>
  </si>
  <si>
    <t>Amount in ₹</t>
  </si>
  <si>
    <t>2. Master Balance Sheet Line Items (Yes = Include in Report, No = Remove from Balance Sheet)</t>
  </si>
  <si>
    <t>I</t>
  </si>
  <si>
    <t>Cr. (Credit Side)</t>
  </si>
  <si>
    <t>EQUITY AND LIABILITIES</t>
  </si>
  <si>
    <t>Category / Classification</t>
  </si>
  <si>
    <t>Financial Statement Line Item</t>
  </si>
  <si>
    <t>Date</t>
  </si>
  <si>
    <t>Include? (Yes/No)</t>
  </si>
  <si>
    <t>Note Ref</t>
  </si>
  <si>
    <t>Status in Financial Report</t>
  </si>
  <si>
    <t>Non-Current Assets</t>
  </si>
  <si>
    <t>Property, Plant and Equipment (PPE)</t>
  </si>
  <si>
    <t>Particulars (Debit)</t>
  </si>
  <si>
    <t>Amount (₹)</t>
  </si>
  <si>
    <t>1</t>
  </si>
  <si>
    <t>Yes</t>
  </si>
  <si>
    <t>Particulars (Credit)</t>
  </si>
  <si>
    <t>Revenue from operations</t>
  </si>
  <si>
    <t>Note 11</t>
  </si>
  <si>
    <t>Owners Funds</t>
  </si>
  <si>
    <t>To Drawings during the year</t>
  </si>
  <si>
    <t>(a)</t>
  </si>
  <si>
    <t>By Balance b/d (Opening Capital)</t>
  </si>
  <si>
    <t>To Income Tax paid on behalf of Owner</t>
  </si>
  <si>
    <t>By Additional Capital Introduced</t>
  </si>
  <si>
    <t>Capital work-in-progress (CWIP)</t>
  </si>
  <si>
    <t>To Balance c/d (Closing Owners Capital)</t>
  </si>
  <si>
    <t>II</t>
  </si>
  <si>
    <t>Other Income</t>
  </si>
  <si>
    <t>Non-current investments</t>
  </si>
  <si>
    <t>Note 12</t>
  </si>
  <si>
    <t>Long-term loans and advances</t>
  </si>
  <si>
    <t>Note 13</t>
  </si>
  <si>
    <t>By Net Profit for the year (from Statement of P&amp;L)</t>
  </si>
  <si>
    <t>Other non-current assets</t>
  </si>
  <si>
    <t>Note 14</t>
  </si>
  <si>
    <t>III</t>
  </si>
  <si>
    <t>Current Assets</t>
  </si>
  <si>
    <t>Total Income (I + II)</t>
  </si>
  <si>
    <t>Current investments</t>
  </si>
  <si>
    <t>Inventories (Stock in Hand)</t>
  </si>
  <si>
    <t>Note 15</t>
  </si>
  <si>
    <t>Trade receivables (Sundry Debtors)</t>
  </si>
  <si>
    <t>Note 16</t>
  </si>
  <si>
    <t>Cash and bank balances</t>
  </si>
  <si>
    <t>Note 17</t>
  </si>
  <si>
    <t>Total Debit:</t>
  </si>
  <si>
    <t>Short-term loans and advances</t>
  </si>
  <si>
    <t>Other current assets</t>
  </si>
  <si>
    <t>Note 18</t>
  </si>
  <si>
    <t>(b)</t>
  </si>
  <si>
    <t>Equity</t>
  </si>
  <si>
    <t>IV</t>
  </si>
  <si>
    <t>Owners Capital Account</t>
  </si>
  <si>
    <t>Note 3</t>
  </si>
  <si>
    <t>EXPENSES:</t>
  </si>
  <si>
    <t>Total Credit:</t>
  </si>
  <si>
    <t>Reserves and surplus</t>
  </si>
  <si>
    <t>Note 4</t>
  </si>
  <si>
    <t>Non-Current Liabilities</t>
  </si>
  <si>
    <t>Long-term borrowings (Term Loans)</t>
  </si>
  <si>
    <t>Cost of goods sold / Raw Material Consumed</t>
  </si>
  <si>
    <t>Note 5A</t>
  </si>
  <si>
    <t>Long-Term Borrowings (Term Loans Ledger) (Note 5A)</t>
  </si>
  <si>
    <t>Other long-term liabilities</t>
  </si>
  <si>
    <t>Note 7</t>
  </si>
  <si>
    <t>Long-term provisions</t>
  </si>
  <si>
    <t>Note 8</t>
  </si>
  <si>
    <t>Current Liabilities</t>
  </si>
  <si>
    <t>Short-term borrowings (CC / OD / Loans)</t>
  </si>
  <si>
    <t>Note 5B</t>
  </si>
  <si>
    <t>Employee benefits expense</t>
  </si>
  <si>
    <t>Trade payables (Sundry Creditors)</t>
  </si>
  <si>
    <t>Note 9</t>
  </si>
  <si>
    <t>Other current liabilities</t>
  </si>
  <si>
    <t>Note 10</t>
  </si>
  <si>
    <t>Sub-total: Owners Funds</t>
  </si>
  <si>
    <t>Short-term provisions</t>
  </si>
  <si>
    <t>To Principal Repayment during year</t>
  </si>
  <si>
    <t>By Balance b/d (Opening Term Loan)</t>
  </si>
  <si>
    <t>(c)</t>
  </si>
  <si>
    <t>To Balance c/d (Closing Term Loan Balance)</t>
  </si>
  <si>
    <t>Finance costs</t>
  </si>
  <si>
    <t>2</t>
  </si>
  <si>
    <t>Non-current liabilities</t>
  </si>
  <si>
    <t>By Fresh Term Loan Received during year</t>
  </si>
  <si>
    <t>(d)</t>
  </si>
  <si>
    <t>Depreciation and amortization expense</t>
  </si>
  <si>
    <t>(e)</t>
  </si>
  <si>
    <t>Other expenses</t>
  </si>
  <si>
    <t>Short-Term Borrowings (Bank OD / CC / Facility Ledger) (Note 5B)</t>
  </si>
  <si>
    <t>Total Expenses (IV)</t>
  </si>
  <si>
    <t>To Repayment / Credit during year</t>
  </si>
  <si>
    <t>By Balance b/d (Opening Facility Balance)</t>
  </si>
  <si>
    <t>V</t>
  </si>
  <si>
    <t>To Balance c/d (Closing Short-Term Borrowing Balance)</t>
  </si>
  <si>
    <t>Profit / (Loss) before remuneration and tax (III - IV)</t>
  </si>
  <si>
    <t>By Drawdown / Utilization during year</t>
  </si>
  <si>
    <t>VI</t>
  </si>
  <si>
    <t>Trade Payables (Sundry Creditors Ledger) (Note 9)</t>
  </si>
  <si>
    <t>Sub-total: Non-current liabilities</t>
  </si>
  <si>
    <t>VII</t>
  </si>
  <si>
    <t>Profit Before Tax (V - VI)</t>
  </si>
  <si>
    <t>To Payments made to Suppliers</t>
  </si>
  <si>
    <t>By Balance b/d (Opening Creditors)</t>
  </si>
  <si>
    <t>To Balance c/d (Closing Sundry Creditors)</t>
  </si>
  <si>
    <t>By Credit Purchases during year (from PL_Notes)</t>
  </si>
  <si>
    <t>3</t>
  </si>
  <si>
    <t>Current liabilities</t>
  </si>
  <si>
    <t>VIII</t>
  </si>
  <si>
    <t>Tax Expense (Current Income Tax)</t>
  </si>
  <si>
    <t>IX</t>
  </si>
  <si>
    <t>Profit / (Loss) for the year transferred to Capital Account (VII - VIII)</t>
  </si>
  <si>
    <t>Other Current Liabilities Ledger (Note 10)</t>
  </si>
  <si>
    <t>To Payment of Statutory Dues &amp; Expenses</t>
  </si>
  <si>
    <t>By Balance b/d (Opening Liabilities / Accruals)</t>
  </si>
  <si>
    <t>To Balance c/d (Closing Other Current Liabilities)</t>
  </si>
  <si>
    <t>By Accruals (GST, TDS &amp; Expenses Payable)</t>
  </si>
  <si>
    <t>Property, Plant and Equipment (PPE Ledger) (Note 11)</t>
  </si>
  <si>
    <t>To Balance b/d (Opening Net Block)</t>
  </si>
  <si>
    <t>By Depreciation for the year (from Statement of P&amp;L)</t>
  </si>
  <si>
    <t>To Capital Additions / Purchases (Fixed Assets)</t>
  </si>
  <si>
    <t>By Disposals / Deductions during year</t>
  </si>
  <si>
    <t>By Balance c/d (Closing Net Block to Balance Sheet)</t>
  </si>
  <si>
    <t>Sub-total: Current liabilities</t>
  </si>
  <si>
    <t>TOTAL EQUITY AND LIABILITIES</t>
  </si>
  <si>
    <t>Non-Current Investments (Portfolio at Cost) (Note 12)</t>
  </si>
  <si>
    <t>ASSETS</t>
  </si>
  <si>
    <t>Non-current assets</t>
  </si>
  <si>
    <t>To Balance b/d (Opening Investment Cost)</t>
  </si>
  <si>
    <t>By Sale / Realization of Investments</t>
  </si>
  <si>
    <t>To Fresh Investments / Purchases during year</t>
  </si>
  <si>
    <t>By Balance c/d (Closing Investments at Cost)</t>
  </si>
  <si>
    <t>Inventories (Stock in Hand Ledger) (Note 15)</t>
  </si>
  <si>
    <t>To Balance b/d (Opening Stock in Hand)</t>
  </si>
  <si>
    <t>By Cost of Goods Sold (Consumption to Statement of P&amp;L)</t>
  </si>
  <si>
    <t>To Direct Purchases during year (from PL_Notes)</t>
  </si>
  <si>
    <t>By Balance c/d (Closing Stock to Balance Sheet)</t>
  </si>
  <si>
    <t>Trade Receivables (Sundry Debtors Ledger) (Note 16)</t>
  </si>
  <si>
    <t>To Balance b/d (Opening Debtors)</t>
  </si>
  <si>
    <t>By Collections from Debtors / Bank</t>
  </si>
  <si>
    <t>To Credit Sales / Turnover during year</t>
  </si>
  <si>
    <t>By Balance c/d (Closing Debtors to Balance Sheet)</t>
  </si>
  <si>
    <t>Cash and Bank Balances Ledger (Note 17)</t>
  </si>
  <si>
    <t>To Balance b/d (Opening Cash &amp; Bank)</t>
  </si>
  <si>
    <t>By Payments to Creditors / Suppliers</t>
  </si>
  <si>
    <t>Sub-total: Non-current assets</t>
  </si>
  <si>
    <t>To Collections from Debtors / Customers</t>
  </si>
  <si>
    <t>By Employee Salaries &amp; Benefits</t>
  </si>
  <si>
    <t>To Other Operating Income received</t>
  </si>
  <si>
    <t>Direct Purchases &amp; Inward Material Costs (Note 21)</t>
  </si>
  <si>
    <t>By Other Operating Expenses</t>
  </si>
  <si>
    <t>Entry #</t>
  </si>
  <si>
    <t>Particulars / Description</t>
  </si>
  <si>
    <t>To Additional Capital introduced</t>
  </si>
  <si>
    <t>By Capital Expenditure (PPE Additions)</t>
  </si>
  <si>
    <t>Current assets</t>
  </si>
  <si>
    <t>By Loan Repayments &amp; Finance Costs</t>
  </si>
  <si>
    <t>By Drawings &amp; Income Taxes</t>
  </si>
  <si>
    <t>By Balance c/d (Closing Cash &amp; Bank to Balance Sheet)</t>
  </si>
  <si>
    <t>Total Direct Purchases &amp; Inward Material Costs (Flows to Statement of P&amp;L):</t>
  </si>
  <si>
    <t>Short-Term Loans and Advances Ledger (Note 13)</t>
  </si>
  <si>
    <t>Employee Benefits Expense (Note 22)</t>
  </si>
  <si>
    <t>To Balance b/d (Opening Advances)</t>
  </si>
  <si>
    <t>By Advances recovered / adjusted</t>
  </si>
  <si>
    <t>To Advances given to Suppliers / Staff</t>
  </si>
  <si>
    <t>By Balance c/d (Closing Advances to Balance Sheet)</t>
  </si>
  <si>
    <t>Total Employee Benefits Expense (Flows to Statement of P&amp;L):</t>
  </si>
  <si>
    <t>Finance Costs (Note 23)</t>
  </si>
  <si>
    <t>Total Finance Costs (Flows to Statement of P&amp;L):</t>
  </si>
  <si>
    <t>Other Operating Expenses (Note 25)</t>
  </si>
  <si>
    <t>Total Other Operating Expenses (Flows to Statement of P&amp;L):</t>
  </si>
  <si>
    <t>Other Income (Note 20)</t>
  </si>
  <si>
    <t>Total Other Income (Flows to Statement of P&amp;L):</t>
  </si>
  <si>
    <t>A.</t>
  </si>
  <si>
    <t>(f)</t>
  </si>
  <si>
    <t>Sub-total: Current assets</t>
  </si>
  <si>
    <t>TOTAL ASSETS</t>
  </si>
  <si>
    <t>BALANCE CHECK VERIFICATION:</t>
  </si>
  <si>
    <t>Net Cash Flow from Operating Activities (A)</t>
  </si>
  <si>
    <t>B.</t>
  </si>
  <si>
    <t>CASH FLOWS FROM INVESTING ACTIVITIES</t>
  </si>
  <si>
    <t xml:space="preserve">  Purchase of Property, Plant &amp; Equipment (Additions)</t>
  </si>
  <si>
    <t xml:space="preserve">  Interest / Non-Operating Income received</t>
  </si>
  <si>
    <t>Net Cash Flow from / (used in) Investing Activities (B)</t>
  </si>
  <si>
    <t>C.</t>
  </si>
  <si>
    <t>CASH FLOWS FROM FINANCING ACTIVITIES</t>
  </si>
  <si>
    <t xml:space="preserve">  Additional Capital introduced by Owner</t>
  </si>
  <si>
    <t xml:space="preserve">  Drawings by Owner during the year</t>
  </si>
  <si>
    <t xml:space="preserve">  Proceeds / (Repayment) of Long-term Borrowings</t>
  </si>
  <si>
    <t xml:space="preserve">  Net Proceeds / (Repayment) of Short-term Borrowings</t>
  </si>
  <si>
    <t xml:space="preserve">  Finance costs / Interest paid</t>
  </si>
  <si>
    <t>Net Cash Flow from / (used in) Financing Activities (C)</t>
  </si>
  <si>
    <t>NET INCREASE / (DECREASE) IN CASH &amp; CASH EQUIVALENTS (A+B+C)</t>
  </si>
  <si>
    <t>Cash &amp; Cash Equivalents at Beginning of Year (Opening Ledger)</t>
  </si>
  <si>
    <t>Cash &amp; Cash Equivalents at End of Year (Closing Ledger)</t>
  </si>
  <si>
    <t>CASH FLOW RECONCILIATION CHECK: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</si>
</sst>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1.0"/>
      <color theme="1"/>
      <name val="Calibri"/>
      <scheme val="minor"/>
    </font>
    <font>
      <b/>
      <sz val="13.0"/>
      <color rgb="FF1B365D"/>
      <name val="Calibri"/>
    </font>
    <font>
      <i/>
      <sz val="9.0"/>
      <color rgb="FF555555"/>
      <name val="Calibri"/>
    </font>
    <font>
      <b/>
      <sz val="11.0"/>
      <color rgb="FFFFFFFF"/>
      <name val="Calibri"/>
    </font>
    <font/>
    <font>
      <b/>
      <sz val="10.0"/>
      <color theme="1"/>
      <name val="Calibri"/>
    </font>
    <font>
      <b/>
      <sz val="10.0"/>
      <color rgb="FF1B365D"/>
      <name val="Calibri"/>
    </font>
    <font>
      <sz val="10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DE7"/>
        <bgColor rgb="FFFFFDE7"/>
      </patternFill>
    </fill>
    <fill>
      <patternFill patternType="solid">
        <fgColor rgb="FFD0E1FD"/>
        <bgColor rgb="FFD0E1FD"/>
      </patternFill>
    </fill>
    <fill>
      <patternFill patternType="solid">
        <fgColor rgb="FFEDF2F7"/>
        <bgColor rgb="FFEDF2F7"/>
      </patternFill>
    </fill>
    <fill>
      <patternFill patternType="solid">
        <fgColor rgb="FFE8F5E9"/>
        <bgColor rgb="FFE8F5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</border>
    <border>
      <left style="thin">
        <color rgb="FFD2D6DC"/>
      </left>
      <top style="thin">
        <color rgb="FFD2D6DC"/>
      </top>
      <bottom style="thin">
        <color rgb="FFD2D6DC"/>
      </bottom>
    </border>
    <border>
      <top style="thin">
        <color rgb="FFD2D6DC"/>
      </top>
      <bottom style="thin">
        <color rgb="FFD2D6DC"/>
      </bottom>
    </border>
    <border>
      <right style="thin">
        <color rgb="FFD2D6DC"/>
      </right>
      <top style="thin">
        <color rgb="FFD2D6DC"/>
      </top>
      <bottom style="thin">
        <color rgb="FFD2D6DC"/>
      </bottom>
    </border>
    <border>
      <left style="thin">
        <color rgb="FFD2D6DC"/>
      </left>
      <right style="thin">
        <color rgb="FFD2D6DC"/>
      </right>
      <top style="thin">
        <color rgb="FFD2D6DC"/>
      </top>
      <bottom style="double">
        <color rgb="FF1B365D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vertical="center"/>
    </xf>
    <xf borderId="4" fillId="3" fontId="7" numFmtId="0" xfId="0" applyBorder="1" applyFill="1" applyFont="1"/>
    <xf borderId="0" fillId="0" fontId="2" numFmtId="0" xfId="0" applyAlignment="1" applyFont="1">
      <alignment horizontal="right" vertical="center"/>
    </xf>
    <xf borderId="4" fillId="2" fontId="3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4" fillId="4" fontId="6" numFmtId="0" xfId="0" applyAlignment="1" applyBorder="1" applyFill="1" applyFont="1">
      <alignment horizontal="center" vertical="center"/>
    </xf>
    <xf borderId="4" fillId="4" fontId="6" numFmtId="0" xfId="0" applyBorder="1" applyFill="1" applyFont="1"/>
    <xf borderId="4" fillId="4" fontId="5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4" fontId="8" numFmtId="0" xfId="0" applyBorder="1" applyFill="1" applyFont="1"/>
    <xf borderId="4" fillId="0" fontId="8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4" fillId="0" fontId="7" numFmtId="0" xfId="0" applyBorder="1" applyFont="1"/>
    <xf borderId="4" fillId="0" fontId="7" numFmtId="0" xfId="0" applyAlignment="1" applyBorder="1" applyFont="1">
      <alignment horizontal="center" vertical="center"/>
    </xf>
    <xf borderId="4" fillId="0" fontId="8" numFmtId="4" xfId="0" applyBorder="1" applyFont="1" applyNumberFormat="1"/>
    <xf borderId="4" fillId="0" fontId="8" numFmtId="0" xfId="0" applyBorder="1" applyFont="1"/>
    <xf borderId="4" fillId="3" fontId="7" numFmtId="4" xfId="0" applyBorder="1" applyFill="1" applyFont="1" applyNumberFormat="1"/>
    <xf borderId="4" fillId="0" fontId="2" numFmtId="0" xfId="0" applyBorder="1" applyFont="1"/>
    <xf borderId="4" fillId="0" fontId="7" numFmtId="4" xfId="0" applyBorder="1" applyFont="1" applyNumberFormat="1"/>
    <xf borderId="4" fillId="5" fontId="5" numFmtId="0" xfId="0" applyBorder="1" applyFill="1" applyFont="1"/>
    <xf borderId="4" fillId="5" fontId="5" numFmtId="4" xfId="0" applyBorder="1" applyFill="1" applyFont="1" applyNumberFormat="1"/>
    <xf borderId="8" fillId="5" fontId="8" numFmtId="0" xfId="0" applyBorder="1" applyFill="1" applyFont="1"/>
    <xf borderId="8" fillId="5" fontId="5" numFmtId="0" xfId="0" applyBorder="1" applyFill="1" applyFont="1"/>
    <xf borderId="8" fillId="5" fontId="5" numFmtId="4" xfId="0" applyBorder="1" applyFill="1" applyFont="1" applyNumberFormat="1"/>
    <xf borderId="4" fillId="4" fontId="8" numFmtId="4" xfId="0" applyBorder="1" applyFill="1" applyFont="1" applyNumberFormat="1"/>
    <xf borderId="8" fillId="4" fontId="5" numFmtId="0" xfId="0" applyAlignment="1" applyBorder="1" applyFill="1" applyFont="1">
      <alignment horizontal="center" vertical="center"/>
    </xf>
    <xf borderId="8" fillId="4" fontId="5" numFmtId="0" xfId="0" applyBorder="1" applyFill="1" applyFont="1"/>
    <xf borderId="8" fillId="0" fontId="8" numFmtId="0" xfId="0" applyAlignment="1" applyBorder="1" applyFont="1">
      <alignment horizontal="center" vertical="center"/>
    </xf>
    <xf borderId="8" fillId="4" fontId="5" numFmtId="4" xfId="0" applyBorder="1" applyFill="1" applyFont="1" applyNumberFormat="1"/>
    <xf borderId="4" fillId="0" fontId="7" numFmtId="164" xfId="0" applyBorder="1" applyFont="1" applyNumberFormat="1"/>
    <xf borderId="8" fillId="5" fontId="5" numFmtId="0" xfId="0" applyAlignment="1" applyBorder="1" applyFill="1" applyFont="1">
      <alignment horizontal="right" vertical="center"/>
    </xf>
    <xf borderId="8" fillId="0" fontId="8" numFmtId="0" xfId="0" applyBorder="1" applyFont="1"/>
    <xf borderId="4" fillId="6" fontId="5" numFmtId="0" xfId="0" applyBorder="1" applyFill="1" applyFont="1"/>
    <xf borderId="4" fillId="6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3" width="42.0"/>
    <col customWidth="1" min="4" max="4" width="16.0"/>
    <col customWidth="1" min="5" max="5" width="14.0"/>
    <col customWidth="1" min="6" max="6" width="26.0"/>
    <col customWidth="1" min="7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D5" s="4"/>
      <c r="E5" s="5"/>
    </row>
    <row r="6">
      <c r="B6" s="6" t="s">
        <v>3</v>
      </c>
      <c r="C6" s="8" t="s">
        <v>4</v>
      </c>
    </row>
    <row r="7">
      <c r="B7" s="6" t="s">
        <v>5</v>
      </c>
      <c r="C7" s="8" t="s">
        <v>7</v>
      </c>
    </row>
    <row r="8">
      <c r="B8" s="6" t="s">
        <v>8</v>
      </c>
      <c r="C8" s="8" t="s">
        <v>9</v>
      </c>
    </row>
    <row r="9">
      <c r="B9" s="6" t="s">
        <v>12</v>
      </c>
      <c r="C9" s="8" t="s">
        <v>13</v>
      </c>
    </row>
    <row r="10">
      <c r="B10" s="6" t="s">
        <v>15</v>
      </c>
      <c r="C10" s="8" t="s">
        <v>16</v>
      </c>
    </row>
    <row r="11">
      <c r="B11" s="6" t="s">
        <v>17</v>
      </c>
      <c r="C11" s="8" t="s">
        <v>18</v>
      </c>
    </row>
    <row r="13">
      <c r="B13" s="3" t="s">
        <v>19</v>
      </c>
      <c r="C13" s="4"/>
      <c r="D13" s="4"/>
      <c r="E13" s="4"/>
      <c r="F13" s="5"/>
    </row>
    <row r="14">
      <c r="B14" s="16" t="s">
        <v>23</v>
      </c>
      <c r="C14" s="16" t="s">
        <v>24</v>
      </c>
      <c r="D14" s="16" t="s">
        <v>26</v>
      </c>
      <c r="E14" s="16" t="s">
        <v>27</v>
      </c>
      <c r="F14" s="16" t="s">
        <v>28</v>
      </c>
    </row>
    <row r="15">
      <c r="B15" s="6" t="s">
        <v>29</v>
      </c>
      <c r="C15" s="6" t="s">
        <v>30</v>
      </c>
      <c r="D15" s="21" t="s">
        <v>34</v>
      </c>
      <c r="E15" s="20" t="s">
        <v>37</v>
      </c>
      <c r="F15" s="27" t="str">
        <f t="shared" ref="F15:F34" si="1">IF(D15="Yes", "Active in Balance Sheet", "Hidden / Excluded")</f>
        <v>Active in Balance Sheet</v>
      </c>
    </row>
    <row r="16">
      <c r="B16" s="6" t="s">
        <v>29</v>
      </c>
      <c r="C16" s="6" t="s">
        <v>44</v>
      </c>
      <c r="D16" s="21" t="s">
        <v>13</v>
      </c>
      <c r="E16" s="20" t="s">
        <v>37</v>
      </c>
      <c r="F16" s="27" t="str">
        <f t="shared" si="1"/>
        <v>Hidden / Excluded</v>
      </c>
    </row>
    <row r="17">
      <c r="B17" s="6" t="s">
        <v>29</v>
      </c>
      <c r="C17" s="6" t="s">
        <v>48</v>
      </c>
      <c r="D17" s="21" t="s">
        <v>34</v>
      </c>
      <c r="E17" s="20" t="s">
        <v>49</v>
      </c>
      <c r="F17" s="27" t="str">
        <f t="shared" si="1"/>
        <v>Active in Balance Sheet</v>
      </c>
    </row>
    <row r="18">
      <c r="B18" s="6" t="s">
        <v>29</v>
      </c>
      <c r="C18" s="22" t="s">
        <v>50</v>
      </c>
      <c r="D18" s="21" t="s">
        <v>13</v>
      </c>
      <c r="E18" s="20" t="s">
        <v>51</v>
      </c>
      <c r="F18" s="27" t="str">
        <f t="shared" si="1"/>
        <v>Hidden / Excluded</v>
      </c>
    </row>
    <row r="19">
      <c r="B19" s="6" t="s">
        <v>29</v>
      </c>
      <c r="C19" s="22" t="s">
        <v>53</v>
      </c>
      <c r="D19" s="21" t="s">
        <v>13</v>
      </c>
      <c r="E19" s="20" t="s">
        <v>54</v>
      </c>
      <c r="F19" s="27" t="str">
        <f t="shared" si="1"/>
        <v>Hidden / Excluded</v>
      </c>
    </row>
    <row r="20">
      <c r="B20" s="6" t="s">
        <v>56</v>
      </c>
      <c r="C20" s="6" t="s">
        <v>58</v>
      </c>
      <c r="D20" s="21" t="s">
        <v>13</v>
      </c>
      <c r="E20" s="20" t="s">
        <v>49</v>
      </c>
      <c r="F20" s="27" t="str">
        <f t="shared" si="1"/>
        <v>Hidden / Excluded</v>
      </c>
    </row>
    <row r="21" ht="15.75" customHeight="1">
      <c r="B21" s="6" t="s">
        <v>56</v>
      </c>
      <c r="C21" s="6" t="s">
        <v>59</v>
      </c>
      <c r="D21" s="21" t="s">
        <v>34</v>
      </c>
      <c r="E21" s="20" t="s">
        <v>60</v>
      </c>
      <c r="F21" s="27" t="str">
        <f t="shared" si="1"/>
        <v>Active in Balance Sheet</v>
      </c>
    </row>
    <row r="22" ht="15.75" customHeight="1">
      <c r="B22" s="6" t="s">
        <v>56</v>
      </c>
      <c r="C22" s="22" t="s">
        <v>61</v>
      </c>
      <c r="D22" s="21" t="s">
        <v>34</v>
      </c>
      <c r="E22" s="20" t="s">
        <v>62</v>
      </c>
      <c r="F22" s="27" t="str">
        <f t="shared" si="1"/>
        <v>Active in Balance Sheet</v>
      </c>
    </row>
    <row r="23" ht="15.75" customHeight="1">
      <c r="B23" s="6" t="s">
        <v>56</v>
      </c>
      <c r="C23" s="6" t="s">
        <v>63</v>
      </c>
      <c r="D23" s="21" t="s">
        <v>34</v>
      </c>
      <c r="E23" s="20" t="s">
        <v>64</v>
      </c>
      <c r="F23" s="27" t="str">
        <f t="shared" si="1"/>
        <v>Active in Balance Sheet</v>
      </c>
    </row>
    <row r="24" ht="15.75" customHeight="1">
      <c r="B24" s="6" t="s">
        <v>56</v>
      </c>
      <c r="C24" s="22" t="s">
        <v>66</v>
      </c>
      <c r="D24" s="21" t="s">
        <v>34</v>
      </c>
      <c r="E24" s="20" t="s">
        <v>51</v>
      </c>
      <c r="F24" s="27" t="str">
        <f t="shared" si="1"/>
        <v>Active in Balance Sheet</v>
      </c>
    </row>
    <row r="25" ht="15.75" customHeight="1">
      <c r="B25" s="6" t="s">
        <v>56</v>
      </c>
      <c r="C25" s="22" t="s">
        <v>67</v>
      </c>
      <c r="D25" s="21" t="s">
        <v>13</v>
      </c>
      <c r="E25" s="20" t="s">
        <v>68</v>
      </c>
      <c r="F25" s="27" t="str">
        <f t="shared" si="1"/>
        <v>Hidden / Excluded</v>
      </c>
    </row>
    <row r="26" ht="15.75" customHeight="1">
      <c r="B26" s="22" t="s">
        <v>70</v>
      </c>
      <c r="C26" s="6" t="s">
        <v>72</v>
      </c>
      <c r="D26" s="21" t="s">
        <v>34</v>
      </c>
      <c r="E26" s="20" t="s">
        <v>73</v>
      </c>
      <c r="F26" s="27" t="str">
        <f t="shared" si="1"/>
        <v>Active in Balance Sheet</v>
      </c>
    </row>
    <row r="27" ht="15.75" customHeight="1">
      <c r="B27" s="22" t="s">
        <v>70</v>
      </c>
      <c r="C27" s="22" t="s">
        <v>76</v>
      </c>
      <c r="D27" s="21" t="s">
        <v>34</v>
      </c>
      <c r="E27" s="20" t="s">
        <v>77</v>
      </c>
      <c r="F27" s="27" t="str">
        <f t="shared" si="1"/>
        <v>Active in Balance Sheet</v>
      </c>
    </row>
    <row r="28" ht="15.75" customHeight="1">
      <c r="B28" s="6" t="s">
        <v>78</v>
      </c>
      <c r="C28" s="6" t="s">
        <v>79</v>
      </c>
      <c r="D28" s="21" t="s">
        <v>34</v>
      </c>
      <c r="E28" s="20" t="s">
        <v>81</v>
      </c>
      <c r="F28" s="27" t="str">
        <f t="shared" si="1"/>
        <v>Active in Balance Sheet</v>
      </c>
    </row>
    <row r="29" ht="15.75" customHeight="1">
      <c r="B29" s="6" t="s">
        <v>78</v>
      </c>
      <c r="C29" s="22" t="s">
        <v>83</v>
      </c>
      <c r="D29" s="21" t="s">
        <v>13</v>
      </c>
      <c r="E29" s="20" t="s">
        <v>84</v>
      </c>
      <c r="F29" s="27" t="str">
        <f t="shared" si="1"/>
        <v>Hidden / Excluded</v>
      </c>
    </row>
    <row r="30" ht="15.75" customHeight="1">
      <c r="B30" s="6" t="s">
        <v>78</v>
      </c>
      <c r="C30" s="22" t="s">
        <v>85</v>
      </c>
      <c r="D30" s="21" t="s">
        <v>13</v>
      </c>
      <c r="E30" s="20" t="s">
        <v>86</v>
      </c>
      <c r="F30" s="27" t="str">
        <f t="shared" si="1"/>
        <v>Hidden / Excluded</v>
      </c>
    </row>
    <row r="31" ht="15.75" customHeight="1">
      <c r="B31" s="6" t="s">
        <v>87</v>
      </c>
      <c r="C31" s="6" t="s">
        <v>88</v>
      </c>
      <c r="D31" s="21" t="s">
        <v>34</v>
      </c>
      <c r="E31" s="20" t="s">
        <v>89</v>
      </c>
      <c r="F31" s="27" t="str">
        <f t="shared" si="1"/>
        <v>Active in Balance Sheet</v>
      </c>
    </row>
    <row r="32" ht="15.75" customHeight="1">
      <c r="B32" s="6" t="s">
        <v>87</v>
      </c>
      <c r="C32" s="22" t="s">
        <v>91</v>
      </c>
      <c r="D32" s="21" t="s">
        <v>34</v>
      </c>
      <c r="E32" s="20" t="s">
        <v>92</v>
      </c>
      <c r="F32" s="27" t="str">
        <f t="shared" si="1"/>
        <v>Active in Balance Sheet</v>
      </c>
    </row>
    <row r="33" ht="15.75" customHeight="1">
      <c r="B33" s="6" t="s">
        <v>87</v>
      </c>
      <c r="C33" s="22" t="s">
        <v>93</v>
      </c>
      <c r="D33" s="21" t="s">
        <v>34</v>
      </c>
      <c r="E33" s="20" t="s">
        <v>94</v>
      </c>
      <c r="F33" s="27" t="str">
        <f t="shared" si="1"/>
        <v>Active in Balance Sheet</v>
      </c>
    </row>
    <row r="34" ht="15.75" customHeight="1">
      <c r="B34" s="6" t="s">
        <v>87</v>
      </c>
      <c r="C34" s="22" t="s">
        <v>96</v>
      </c>
      <c r="D34" s="21" t="s">
        <v>34</v>
      </c>
      <c r="E34" s="20" t="s">
        <v>86</v>
      </c>
      <c r="F34" s="27" t="str">
        <f t="shared" si="1"/>
        <v>Active in Balance Sheet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3:F3"/>
    <mergeCell ref="B5:E5"/>
    <mergeCell ref="B13:F13"/>
  </mergeCells>
  <dataValidations>
    <dataValidation type="list" allowBlank="1" sqref="C7">
      <formula1>"Proprietorship,Partnership Firm,LLP"</formula1>
    </dataValidation>
    <dataValidation type="list" allowBlank="1" sqref="C9 D15:D34">
      <formula1>"Yes,No"</formula1>
    </dataValidation>
    <dataValidation type="list" allowBlank="1" sqref="C11">
      <formula1>"Amount in ₹,Amount in ₹ Lakhs,Amount in ₹ Thousands"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0.0"/>
    <col customWidth="1" min="3" max="3" width="10.0"/>
    <col customWidth="1" min="4" max="5" width="22.0"/>
    <col customWidth="1" min="6" max="26" width="8.71"/>
  </cols>
  <sheetData>
    <row r="1">
      <c r="A1" s="1" t="str">
        <f>Setup_Control!C6</f>
        <v>M/s. ABC Enterprises</v>
      </c>
    </row>
    <row r="2">
      <c r="A2" s="7" t="str">
        <f>"Statement of Profit and Loss for the year ended " &amp; Setup_Control!C8</f>
        <v>Statement of Profit and Loss for the year ended 31 March 2026</v>
      </c>
    </row>
    <row r="3">
      <c r="D3" s="9" t="str">
        <f>"(" &amp; Setup_Control!C11 &amp; ")"</f>
        <v>(Amount in ₹)</v>
      </c>
    </row>
    <row r="4">
      <c r="A4" s="10"/>
      <c r="B4" s="10" t="s">
        <v>10</v>
      </c>
      <c r="C4" s="10" t="s">
        <v>11</v>
      </c>
      <c r="D4" s="10" t="str">
        <f>Setup_Control!C8</f>
        <v>31 March 2026</v>
      </c>
      <c r="E4" s="10" t="str">
        <f>IF(Setup_Control!C9="Yes", Setup_Control!C10, "")</f>
        <v/>
      </c>
    </row>
    <row r="5">
      <c r="A5" s="20" t="s">
        <v>20</v>
      </c>
      <c r="B5" s="22" t="s">
        <v>36</v>
      </c>
      <c r="C5" s="20">
        <v>19.0</v>
      </c>
      <c r="D5" s="24">
        <v>0.0</v>
      </c>
      <c r="E5" s="24" t="str">
        <f>IF(Setup_Control!C9="Yes", 0, "")</f>
        <v/>
      </c>
    </row>
    <row r="6">
      <c r="A6" s="20" t="s">
        <v>46</v>
      </c>
      <c r="B6" s="22" t="s">
        <v>47</v>
      </c>
      <c r="C6" s="20">
        <v>20.0</v>
      </c>
      <c r="D6" s="24">
        <f>PL_Notes!D52</f>
        <v>0</v>
      </c>
      <c r="E6" s="24" t="str">
        <f>IF(Setup_Control!C9="Yes", 0, "")</f>
        <v/>
      </c>
    </row>
    <row r="7">
      <c r="A7" s="20" t="s">
        <v>55</v>
      </c>
      <c r="B7" s="29" t="s">
        <v>57</v>
      </c>
      <c r="C7" s="20"/>
      <c r="D7" s="30">
        <f>D5+D6</f>
        <v>0</v>
      </c>
      <c r="E7" s="30" t="str">
        <f>IF(Setup_Control!C9="Yes", E5+E6, "")</f>
        <v/>
      </c>
    </row>
    <row r="8">
      <c r="A8" s="14" t="s">
        <v>71</v>
      </c>
      <c r="B8" s="15" t="s">
        <v>74</v>
      </c>
      <c r="C8" s="17"/>
      <c r="D8" s="19"/>
      <c r="E8" s="19"/>
    </row>
    <row r="9">
      <c r="A9" s="20" t="s">
        <v>40</v>
      </c>
      <c r="B9" s="22" t="s">
        <v>80</v>
      </c>
      <c r="C9" s="20">
        <v>21.0</v>
      </c>
      <c r="D9" s="24">
        <f>BS_Notes!F58</f>
        <v>0</v>
      </c>
      <c r="E9" s="24" t="str">
        <f>IF(Setup_Control!C9="Yes", 0, "")</f>
        <v/>
      </c>
    </row>
    <row r="10">
      <c r="A10" s="20" t="s">
        <v>69</v>
      </c>
      <c r="B10" s="22" t="s">
        <v>90</v>
      </c>
      <c r="C10" s="20">
        <v>22.0</v>
      </c>
      <c r="D10" s="24">
        <f>PL_Notes!D22</f>
        <v>0</v>
      </c>
      <c r="E10" s="24" t="str">
        <f>IF(Setup_Control!C9="Yes", 0, "")</f>
        <v/>
      </c>
    </row>
    <row r="11">
      <c r="A11" s="20" t="s">
        <v>99</v>
      </c>
      <c r="B11" s="22" t="s">
        <v>101</v>
      </c>
      <c r="C11" s="20">
        <v>23.0</v>
      </c>
      <c r="D11" s="24">
        <f>PL_Notes!D32</f>
        <v>0</v>
      </c>
      <c r="E11" s="24" t="str">
        <f>IF(Setup_Control!C9="Yes", 0, "")</f>
        <v/>
      </c>
    </row>
    <row r="12">
      <c r="A12" s="20" t="s">
        <v>105</v>
      </c>
      <c r="B12" s="22" t="s">
        <v>106</v>
      </c>
      <c r="C12" s="20">
        <v>24.0</v>
      </c>
      <c r="D12" s="24">
        <v>0.0</v>
      </c>
      <c r="E12" s="24" t="str">
        <f>IF(Setup_Control!C9="Yes", 0, "")</f>
        <v/>
      </c>
    </row>
    <row r="13">
      <c r="A13" s="20" t="s">
        <v>107</v>
      </c>
      <c r="B13" s="22" t="s">
        <v>108</v>
      </c>
      <c r="C13" s="20">
        <v>25.0</v>
      </c>
      <c r="D13" s="24">
        <f>PL_Notes!D42</f>
        <v>0</v>
      </c>
      <c r="E13" s="24" t="str">
        <f>IF(Setup_Control!C9="Yes", 0, "")</f>
        <v/>
      </c>
    </row>
    <row r="14">
      <c r="A14" s="20"/>
      <c r="B14" s="29" t="s">
        <v>110</v>
      </c>
      <c r="C14" s="20"/>
      <c r="D14" s="30">
        <f>SUM(D9:D13)</f>
        <v>0</v>
      </c>
      <c r="E14" s="30" t="str">
        <f>IF(Setup_Control!C9="Yes", SUM(E9:E13), "")</f>
        <v/>
      </c>
    </row>
    <row r="15">
      <c r="A15" s="14" t="s">
        <v>113</v>
      </c>
      <c r="B15" s="15" t="s">
        <v>115</v>
      </c>
      <c r="C15" s="17"/>
      <c r="D15" s="34">
        <f>D7-D14</f>
        <v>0</v>
      </c>
      <c r="E15" s="19" t="str">
        <f>IF(Setup_Control!C9="Yes", E7-E14, "")</f>
        <v/>
      </c>
    </row>
    <row r="16">
      <c r="A16" s="20" t="s">
        <v>117</v>
      </c>
      <c r="B16" s="22" t="str">
        <f>IF(Setup_Control!C7="Proprietorship", "Remuneration (Not Applicable for Proprietor)", "Partners Remuneration*")</f>
        <v>Remuneration (Not Applicable for Proprietor)</v>
      </c>
      <c r="C16" s="20"/>
      <c r="D16" s="24">
        <v>0.0</v>
      </c>
      <c r="E16" s="24" t="str">
        <f>IF(Setup_Control!C9="Yes", 0, "")</f>
        <v/>
      </c>
    </row>
    <row r="17">
      <c r="A17" s="20" t="s">
        <v>120</v>
      </c>
      <c r="B17" s="29" t="s">
        <v>121</v>
      </c>
      <c r="C17" s="20"/>
      <c r="D17" s="30">
        <f>D15-D16</f>
        <v>0</v>
      </c>
      <c r="E17" s="30" t="str">
        <f>IF(Setup_Control!C9="Yes", E15-E16, "")</f>
        <v/>
      </c>
    </row>
    <row r="18">
      <c r="A18" s="20" t="s">
        <v>128</v>
      </c>
      <c r="B18" s="22" t="s">
        <v>129</v>
      </c>
      <c r="C18" s="20"/>
      <c r="D18" s="24">
        <v>0.0</v>
      </c>
      <c r="E18" s="24" t="str">
        <f>IF(Setup_Control!C9="Yes", 0, "")</f>
        <v/>
      </c>
    </row>
    <row r="19">
      <c r="A19" s="35" t="s">
        <v>130</v>
      </c>
      <c r="B19" s="36" t="s">
        <v>131</v>
      </c>
      <c r="C19" s="37"/>
      <c r="D19" s="38">
        <f>D17-D18</f>
        <v>0</v>
      </c>
      <c r="E19" s="38" t="str">
        <f>IF(Setup_Control!C9="Yes", E17-E18, 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0.0"/>
    <col customWidth="1" min="3" max="3" width="10.0"/>
    <col customWidth="1" min="4" max="5" width="22.0"/>
    <col customWidth="1" min="6" max="26" width="8.71"/>
  </cols>
  <sheetData>
    <row r="1">
      <c r="A1" s="1" t="str">
        <f>Setup_Control!C6</f>
        <v>M/s. ABC Enterprises</v>
      </c>
    </row>
    <row r="2">
      <c r="A2" s="7" t="str">
        <f>"Balance Sheet as at " &amp; Setup_Control!C8</f>
        <v>Balance Sheet as at 31 March 2026</v>
      </c>
    </row>
    <row r="3">
      <c r="D3" s="9" t="str">
        <f>"(" &amp; Setup_Control!C11 &amp; ")"</f>
        <v>(Amount in ₹)</v>
      </c>
    </row>
    <row r="4">
      <c r="A4" s="10"/>
      <c r="B4" s="10" t="s">
        <v>10</v>
      </c>
      <c r="C4" s="10" t="s">
        <v>11</v>
      </c>
      <c r="D4" s="10" t="str">
        <f>Setup_Control!C8</f>
        <v>31 March 2026</v>
      </c>
      <c r="E4" s="10" t="str">
        <f>IF(Setup_Control!C9="Yes", Setup_Control!C10, "")</f>
        <v/>
      </c>
    </row>
    <row r="5">
      <c r="A5" s="14" t="s">
        <v>20</v>
      </c>
      <c r="B5" s="15" t="s">
        <v>22</v>
      </c>
      <c r="C5" s="17"/>
      <c r="D5" s="19"/>
      <c r="E5" s="19"/>
    </row>
    <row r="6">
      <c r="A6" s="20" t="s">
        <v>33</v>
      </c>
      <c r="B6" s="22" t="s">
        <v>38</v>
      </c>
      <c r="C6" s="20"/>
      <c r="D6" s="25"/>
      <c r="E6" s="24"/>
    </row>
    <row r="7">
      <c r="A7" s="20" t="s">
        <v>40</v>
      </c>
      <c r="B7" s="22" t="str">
        <f>IF(Setup_Control!D26="Yes", IF(Setup_Control!C7="Proprietorship", "Owners Capital Account", "Partners Capital Account"), "")</f>
        <v>Owners Capital Account</v>
      </c>
      <c r="C7" s="20">
        <f>IF(Setup_Control!D26="Yes", 3, "")</f>
        <v>3</v>
      </c>
      <c r="D7" s="24" t="str">
        <f>IF(Setup_Control!D26="Yes", BS_Notes!C9, 0)</f>
        <v>#NAME?</v>
      </c>
      <c r="E7" s="24" t="str">
        <f>IF(AND(Setup_Control!C9="Yes", Setup_Control!D26="Yes"), 0, "")</f>
        <v/>
      </c>
    </row>
    <row r="8">
      <c r="A8" s="20" t="s">
        <v>69</v>
      </c>
      <c r="B8" s="22" t="str">
        <f>IF(Setup_Control!D27="Yes", "Reserves and surplus", "")</f>
        <v>Reserves and surplus</v>
      </c>
      <c r="C8" s="20">
        <f>IF(Setup_Control!D27="Yes", 4, "")</f>
        <v>4</v>
      </c>
      <c r="D8" s="24">
        <f>IF(Setup_Control!D27="Yes", 0, 0)</f>
        <v>0</v>
      </c>
      <c r="E8" s="24" t="str">
        <f>IF(AND(Setup_Control!C9="Yes", Setup_Control!D27="Yes"), 0, "")</f>
        <v/>
      </c>
    </row>
    <row r="9">
      <c r="A9" s="20"/>
      <c r="B9" s="29" t="s">
        <v>95</v>
      </c>
      <c r="C9" s="20"/>
      <c r="D9" s="30" t="str">
        <f>D7+D8</f>
        <v>#NAME?</v>
      </c>
      <c r="E9" s="30" t="str">
        <f>IF(Setup_Control!C9="Yes", E7+E8, "")</f>
        <v/>
      </c>
    </row>
    <row r="10">
      <c r="A10" s="20" t="s">
        <v>102</v>
      </c>
      <c r="B10" s="22" t="s">
        <v>103</v>
      </c>
      <c r="C10" s="20"/>
      <c r="D10" s="25"/>
      <c r="E10" s="24"/>
    </row>
    <row r="11">
      <c r="A11" s="20" t="s">
        <v>40</v>
      </c>
      <c r="B11" s="22" t="str">
        <f>IF(Setup_Control!D28="Yes", "Long-term borrowings (Term Loans)", "")</f>
        <v>Long-term borrowings (Term Loans)</v>
      </c>
      <c r="C11" s="20" t="str">
        <f>IF(Setup_Control!D28="Yes", "5A", "")</f>
        <v>5A</v>
      </c>
      <c r="D11" s="24">
        <f>IF(Setup_Control!D28="Yes", BS_Notes!C16, 0)</f>
        <v>0</v>
      </c>
      <c r="E11" s="24" t="str">
        <f>IF(AND(Setup_Control!C9="Yes", Setup_Control!D28="Yes"), 0, "")</f>
        <v/>
      </c>
    </row>
    <row r="12">
      <c r="A12" s="20" t="s">
        <v>69</v>
      </c>
      <c r="B12" s="22" t="str">
        <f>IF(Setup_Control!D29="Yes", "Other long-term liabilities", "")</f>
        <v/>
      </c>
      <c r="C12" s="20" t="str">
        <f>IF(Setup_Control!D29="Yes", 7, "")</f>
        <v/>
      </c>
      <c r="D12" s="24">
        <v>0.0</v>
      </c>
      <c r="E12" s="24" t="str">
        <f>IF(AND(Setup_Control!C9="Yes", Setup_Control!D29="Yes"), 0, "")</f>
        <v/>
      </c>
    </row>
    <row r="13">
      <c r="A13" s="20" t="s">
        <v>99</v>
      </c>
      <c r="B13" s="22" t="str">
        <f>IF(Setup_Control!D30="Yes", "Long-term provisions", "")</f>
        <v/>
      </c>
      <c r="C13" s="20" t="str">
        <f>IF(Setup_Control!D30="Yes", 8, "")</f>
        <v/>
      </c>
      <c r="D13" s="24">
        <v>0.0</v>
      </c>
      <c r="E13" s="24" t="str">
        <f>IF(AND(Setup_Control!C9="Yes", Setup_Control!D30="Yes"), 0, "")</f>
        <v/>
      </c>
    </row>
    <row r="14">
      <c r="A14" s="20"/>
      <c r="B14" s="29" t="s">
        <v>119</v>
      </c>
      <c r="C14" s="20"/>
      <c r="D14" s="30">
        <f>SUM(D11:D13)</f>
        <v>0</v>
      </c>
      <c r="E14" s="30" t="str">
        <f>IF(Setup_Control!C9="Yes", SUM(E11:E13), "")</f>
        <v/>
      </c>
    </row>
    <row r="15">
      <c r="A15" s="20" t="s">
        <v>126</v>
      </c>
      <c r="B15" s="22" t="s">
        <v>127</v>
      </c>
      <c r="C15" s="20"/>
      <c r="D15" s="25"/>
      <c r="E15" s="24"/>
    </row>
    <row r="16">
      <c r="A16" s="20" t="s">
        <v>40</v>
      </c>
      <c r="B16" s="22" t="str">
        <f>IF(Setup_Control!D31="Yes", "Short-term borrowings (CC / OD / Loans)", "")</f>
        <v>Short-term borrowings (CC / OD / Loans)</v>
      </c>
      <c r="C16" s="20" t="str">
        <f>IF(Setup_Control!D31="Yes", "5B", "")</f>
        <v>5B</v>
      </c>
      <c r="D16" s="24">
        <f>IF(Setup_Control!D31="Yes", BS_Notes!C23, 0)</f>
        <v>0</v>
      </c>
      <c r="E16" s="24" t="str">
        <f>IF(AND(Setup_Control!C9="Yes", Setup_Control!D31="Yes"), 0, "")</f>
        <v/>
      </c>
    </row>
    <row r="17">
      <c r="A17" s="20" t="s">
        <v>69</v>
      </c>
      <c r="B17" s="22" t="str">
        <f>IF(Setup_Control!D32="Yes", "Trade payables (Sundry Creditors)", "")</f>
        <v>Trade payables (Sundry Creditors)</v>
      </c>
      <c r="C17" s="20">
        <f>IF(Setup_Control!D32="Yes", 9, "")</f>
        <v>9</v>
      </c>
      <c r="D17" s="24">
        <f>IF(Setup_Control!D32="Yes", BS_Notes!C30, 0)</f>
        <v>0</v>
      </c>
      <c r="E17" s="24" t="str">
        <f>IF(AND(Setup_Control!C9="Yes", Setup_Control!D32="Yes"), 0, "")</f>
        <v/>
      </c>
    </row>
    <row r="18">
      <c r="A18" s="20" t="s">
        <v>99</v>
      </c>
      <c r="B18" s="22" t="str">
        <f>IF(Setup_Control!D33="Yes", "Other current liabilities", "")</f>
        <v>Other current liabilities</v>
      </c>
      <c r="C18" s="20">
        <f>IF(Setup_Control!D33="Yes", 10, "")</f>
        <v>10</v>
      </c>
      <c r="D18" s="24">
        <f>IF(Setup_Control!D33="Yes", BS_Notes!C37, 0)</f>
        <v>0</v>
      </c>
      <c r="E18" s="24" t="str">
        <f>IF(AND(Setup_Control!C9="Yes", Setup_Control!D33="Yes"), 0, "")</f>
        <v/>
      </c>
    </row>
    <row r="19">
      <c r="A19" s="20" t="s">
        <v>105</v>
      </c>
      <c r="B19" s="22" t="str">
        <f>IF(Setup_Control!D34="Yes", "Short-term provisions", "")</f>
        <v>Short-term provisions</v>
      </c>
      <c r="C19" s="20">
        <f>IF(Setup_Control!D34="Yes", 8, "")</f>
        <v>8</v>
      </c>
      <c r="D19" s="24">
        <v>0.0</v>
      </c>
      <c r="E19" s="24" t="str">
        <f>IF(AND(Setup_Control!C9="Yes", Setup_Control!D34="Yes"), 0, "")</f>
        <v/>
      </c>
    </row>
    <row r="20">
      <c r="A20" s="20"/>
      <c r="B20" s="29" t="s">
        <v>143</v>
      </c>
      <c r="C20" s="20"/>
      <c r="D20" s="30">
        <f>SUM(D16:D19)</f>
        <v>0</v>
      </c>
      <c r="E20" s="30" t="str">
        <f>IF(Setup_Control!C9="Yes", SUM(E16:E19), "")</f>
        <v/>
      </c>
    </row>
    <row r="21" ht="15.75" customHeight="1">
      <c r="A21" s="35"/>
      <c r="B21" s="36" t="s">
        <v>144</v>
      </c>
      <c r="C21" s="37"/>
      <c r="D21" s="38" t="str">
        <f>D9+D14+D20</f>
        <v>#NAME?</v>
      </c>
      <c r="E21" s="38" t="str">
        <f>IF(Setup_Control!C9="Yes", E9+E14+E20, "")</f>
        <v/>
      </c>
    </row>
    <row r="22" ht="15.75" customHeight="1">
      <c r="A22" s="20"/>
      <c r="B22" s="22"/>
      <c r="C22" s="20"/>
      <c r="D22" s="25"/>
      <c r="E22" s="24"/>
    </row>
    <row r="23" ht="15.75" customHeight="1">
      <c r="A23" s="14" t="s">
        <v>46</v>
      </c>
      <c r="B23" s="15" t="s">
        <v>146</v>
      </c>
      <c r="C23" s="17"/>
      <c r="D23" s="19"/>
      <c r="E23" s="19"/>
    </row>
    <row r="24" ht="15.75" customHeight="1">
      <c r="A24" s="20" t="s">
        <v>33</v>
      </c>
      <c r="B24" s="22" t="s">
        <v>147</v>
      </c>
      <c r="C24" s="20"/>
      <c r="D24" s="25"/>
      <c r="E24" s="24"/>
    </row>
    <row r="25" ht="15.75" customHeight="1">
      <c r="A25" s="20" t="s">
        <v>40</v>
      </c>
      <c r="B25" s="22" t="str">
        <f>IF(Setup_Control!D15="Yes", "Property, Plant and Equipment (PPE)", "")</f>
        <v>Property, Plant and Equipment (PPE)</v>
      </c>
      <c r="C25" s="20">
        <f>IF(Setup_Control!D15="Yes", 11, "")</f>
        <v>11</v>
      </c>
      <c r="D25" s="24" t="str">
        <f>IF(Setup_Control!D15="Yes", BS_Notes!F45, 0)</f>
        <v>#NAME?</v>
      </c>
      <c r="E25" s="24" t="str">
        <f>IF(AND(Setup_Control!C9="Yes", Setup_Control!D15="Yes"), 0, "")</f>
        <v/>
      </c>
    </row>
    <row r="26" ht="15.75" customHeight="1">
      <c r="A26" s="20" t="s">
        <v>69</v>
      </c>
      <c r="B26" s="22" t="str">
        <f>IF(Setup_Control!D16="Yes", "Capital work-in-progress (CWIP)", "")</f>
        <v/>
      </c>
      <c r="C26" s="20" t="str">
        <f>IF(Setup_Control!D16="Yes", 11, "")</f>
        <v/>
      </c>
      <c r="D26" s="24">
        <v>0.0</v>
      </c>
      <c r="E26" s="24" t="str">
        <f>IF(AND(Setup_Control!C9="Yes", Setup_Control!D16="Yes"), 0, "")</f>
        <v/>
      </c>
    </row>
    <row r="27" ht="15.75" customHeight="1">
      <c r="A27" s="20" t="s">
        <v>99</v>
      </c>
      <c r="B27" s="22" t="str">
        <f>IF(Setup_Control!D17="Yes", "Non-current investments", "")</f>
        <v>Non-current investments</v>
      </c>
      <c r="C27" s="20">
        <f>IF(Setup_Control!D17="Yes", 12, "")</f>
        <v>12</v>
      </c>
      <c r="D27" s="24">
        <f>IF(Setup_Control!D17="Yes", BS_Notes!F52, 0)</f>
        <v>0</v>
      </c>
      <c r="E27" s="24" t="str">
        <f>IF(AND(Setup_Control!C9="Yes", Setup_Control!D17="Yes"), 0, "")</f>
        <v/>
      </c>
    </row>
    <row r="28" ht="15.75" customHeight="1">
      <c r="A28" s="20" t="s">
        <v>105</v>
      </c>
      <c r="B28" s="22" t="str">
        <f>IF(Setup_Control!D18="Yes", "Long-term loans and advances", "")</f>
        <v/>
      </c>
      <c r="C28" s="20" t="str">
        <f>IF(Setup_Control!D18="Yes", 13, "")</f>
        <v/>
      </c>
      <c r="D28" s="24">
        <v>0.0</v>
      </c>
      <c r="E28" s="24" t="str">
        <f>IF(AND(Setup_Control!C9="Yes", Setup_Control!D18="Yes"), 0, "")</f>
        <v/>
      </c>
    </row>
    <row r="29" ht="15.75" customHeight="1">
      <c r="A29" s="20" t="s">
        <v>107</v>
      </c>
      <c r="B29" s="22" t="str">
        <f>IF(Setup_Control!D19="Yes", "Other non-current assets", "")</f>
        <v/>
      </c>
      <c r="C29" s="20" t="str">
        <f>IF(Setup_Control!D19="Yes", 14, "")</f>
        <v/>
      </c>
      <c r="D29" s="24">
        <v>0.0</v>
      </c>
      <c r="E29" s="24" t="str">
        <f>IF(AND(Setup_Control!C9="Yes", Setup_Control!D19="Yes"), 0, "")</f>
        <v/>
      </c>
    </row>
    <row r="30" ht="15.75" customHeight="1">
      <c r="A30" s="20"/>
      <c r="B30" s="29" t="s">
        <v>165</v>
      </c>
      <c r="C30" s="20"/>
      <c r="D30" s="30" t="str">
        <f>SUM(D25:D29)</f>
        <v>#NAME?</v>
      </c>
      <c r="E30" s="30" t="str">
        <f>IF(Setup_Control!C9="Yes", SUM(E25:E29), "")</f>
        <v/>
      </c>
    </row>
    <row r="31" ht="15.75" customHeight="1">
      <c r="A31" s="20" t="s">
        <v>102</v>
      </c>
      <c r="B31" s="22" t="s">
        <v>175</v>
      </c>
      <c r="C31" s="20"/>
      <c r="D31" s="25"/>
      <c r="E31" s="24"/>
    </row>
    <row r="32" ht="15.75" customHeight="1">
      <c r="A32" s="20" t="s">
        <v>40</v>
      </c>
      <c r="B32" s="22" t="str">
        <f>IF(Setup_Control!D20="Yes", "Current investments", "")</f>
        <v/>
      </c>
      <c r="C32" s="20" t="str">
        <f>IF(Setup_Control!D20="Yes", 12, "")</f>
        <v/>
      </c>
      <c r="D32" s="24">
        <v>0.0</v>
      </c>
      <c r="E32" s="24" t="str">
        <f>IF(AND(Setup_Control!C9="Yes", Setup_Control!D20="Yes"), 0, "")</f>
        <v/>
      </c>
    </row>
    <row r="33" ht="15.75" customHeight="1">
      <c r="A33" s="20" t="s">
        <v>69</v>
      </c>
      <c r="B33" s="22" t="str">
        <f>IF(Setup_Control!D21="Yes", "Inventories (Stock in Hand)", "")</f>
        <v>Inventories (Stock in Hand)</v>
      </c>
      <c r="C33" s="20">
        <f>IF(Setup_Control!D21="Yes", 15, "")</f>
        <v>15</v>
      </c>
      <c r="D33" s="24">
        <f>IF(Setup_Control!D21="Yes", BS_Notes!F59, 0)</f>
        <v>0</v>
      </c>
      <c r="E33" s="24" t="str">
        <f>IF(AND(Setup_Control!C9="Yes", Setup_Control!D21="Yes"), 0, "")</f>
        <v/>
      </c>
    </row>
    <row r="34" ht="15.75" customHeight="1">
      <c r="A34" s="20" t="s">
        <v>99</v>
      </c>
      <c r="B34" s="22" t="str">
        <f>IF(Setup_Control!D22="Yes", "Trade receivables (Sundry Debtors)", "")</f>
        <v>Trade receivables (Sundry Debtors)</v>
      </c>
      <c r="C34" s="20">
        <f>IF(Setup_Control!D22="Yes", 16, "")</f>
        <v>16</v>
      </c>
      <c r="D34" s="24" t="str">
        <f>IF(Setup_Control!D22="Yes", BS_Notes!F66, 0)</f>
        <v>#NAME?</v>
      </c>
      <c r="E34" s="24" t="str">
        <f>IF(AND(Setup_Control!C9="Yes", Setup_Control!D22="Yes"), 0, "")</f>
        <v/>
      </c>
    </row>
    <row r="35" ht="15.75" customHeight="1">
      <c r="A35" s="20" t="s">
        <v>105</v>
      </c>
      <c r="B35" s="22" t="str">
        <f>IF(Setup_Control!D23="Yes", "Cash and bank balances", "")</f>
        <v>Cash and bank balances</v>
      </c>
      <c r="C35" s="20">
        <f>IF(Setup_Control!D23="Yes", 17, "")</f>
        <v>17</v>
      </c>
      <c r="D35" s="24" t="str">
        <f>IF(Setup_Control!D23="Yes", BS_Notes!F78, 0)</f>
        <v>#NAME?</v>
      </c>
      <c r="E35" s="24" t="str">
        <f>IF(AND(Setup_Control!C9="Yes", Setup_Control!D23="Yes"), 0, "")</f>
        <v/>
      </c>
    </row>
    <row r="36" ht="15.75" customHeight="1">
      <c r="A36" s="20" t="s">
        <v>107</v>
      </c>
      <c r="B36" s="22" t="str">
        <f>IF(Setup_Control!D24="Yes", "Short-term loans and advances", "")</f>
        <v>Short-term loans and advances</v>
      </c>
      <c r="C36" s="20">
        <f>IF(Setup_Control!D24="Yes", 13, "")</f>
        <v>13</v>
      </c>
      <c r="D36" s="24">
        <f>IF(Setup_Control!D24="Yes", BS_Notes!F85, 0)</f>
        <v>0</v>
      </c>
      <c r="E36" s="24" t="str">
        <f>IF(AND(Setup_Control!C9="Yes", Setup_Control!D24="Yes"), 0, "")</f>
        <v/>
      </c>
    </row>
    <row r="37" ht="15.75" customHeight="1">
      <c r="A37" s="20" t="s">
        <v>194</v>
      </c>
      <c r="B37" s="22" t="str">
        <f>IF(Setup_Control!D25="Yes", "Other current assets", "")</f>
        <v/>
      </c>
      <c r="C37" s="20" t="str">
        <f>IF(Setup_Control!D25="Yes", 18, "")</f>
        <v/>
      </c>
      <c r="D37" s="24">
        <v>0.0</v>
      </c>
      <c r="E37" s="24" t="str">
        <f>IF(AND(Setup_Control!C9="Yes", Setup_Control!D25="Yes"), 0, "")</f>
        <v/>
      </c>
    </row>
    <row r="38" ht="15.75" customHeight="1">
      <c r="A38" s="20"/>
      <c r="B38" s="29" t="s">
        <v>195</v>
      </c>
      <c r="C38" s="20"/>
      <c r="D38" s="30" t="str">
        <f>SUM(D32:D37)</f>
        <v>#NAME?</v>
      </c>
      <c r="E38" s="30" t="str">
        <f>IF(Setup_Control!C9="Yes", SUM(E32:E37), "")</f>
        <v/>
      </c>
    </row>
    <row r="39" ht="15.75" customHeight="1">
      <c r="A39" s="35"/>
      <c r="B39" s="36" t="s">
        <v>196</v>
      </c>
      <c r="C39" s="37"/>
      <c r="D39" s="38" t="str">
        <f>D30+D38</f>
        <v>#NAME?</v>
      </c>
      <c r="E39" s="38" t="str">
        <f>IF(Setup_Control!C9="Yes", E30+E38, "")</f>
        <v/>
      </c>
    </row>
    <row r="40" ht="15.75" customHeight="1"/>
    <row r="41" ht="15.75" customHeight="1">
      <c r="A41" s="14"/>
      <c r="B41" s="15" t="s">
        <v>197</v>
      </c>
      <c r="C41" s="17"/>
      <c r="D41" s="19" t="str">
        <f>IF(ROUND(D21-D39,2)=0,"BALANCED ✓","DIFF: " &amp; TEXT(D21-D39,"#,##0.00"))</f>
        <v>#NAME?</v>
      </c>
      <c r="E41" s="19" t="str">
        <f>IF(Setup_Control!C9="Yes", IF(ROUND(E21-E39,2)=0,"BALANCED ✓","DIFF: " &amp; TEXT(E21-E39,"#,##0.00")), "")</f>
        <v/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6.0"/>
    <col customWidth="1" min="3" max="3" width="20.0"/>
    <col customWidth="1" min="4" max="4" width="14.0"/>
    <col customWidth="1" min="5" max="5" width="46.0"/>
    <col customWidth="1" min="6" max="6" width="20.0"/>
    <col customWidth="1" min="7" max="26" width="8.71"/>
  </cols>
  <sheetData>
    <row r="1">
      <c r="A1" s="1" t="str">
        <f>Setup_Control!C6</f>
        <v>M/s. ABC Enterprises</v>
      </c>
    </row>
    <row r="2">
      <c r="A2" s="7" t="str">
        <f>"Balance Sheet Item Ledgers (Horizontal Dr. / Cr. Format) for Financial Year Ended " &amp; Setup_Control!C8</f>
        <v>Balance Sheet Item Ledgers (Horizontal Dr. / Cr. Format) for Financial Year Ended 31 March 2026</v>
      </c>
    </row>
    <row r="4">
      <c r="A4" s="3" t="s">
        <v>6</v>
      </c>
      <c r="B4" s="4"/>
      <c r="C4" s="4"/>
      <c r="D4" s="4"/>
      <c r="E4" s="4"/>
      <c r="F4" s="5"/>
    </row>
    <row r="5">
      <c r="A5" s="11" t="s">
        <v>14</v>
      </c>
      <c r="B5" s="12"/>
      <c r="C5" s="13"/>
      <c r="D5" s="11" t="s">
        <v>21</v>
      </c>
      <c r="E5" s="12"/>
      <c r="F5" s="13"/>
    </row>
    <row r="6">
      <c r="A6" s="18" t="s">
        <v>25</v>
      </c>
      <c r="B6" s="18" t="s">
        <v>31</v>
      </c>
      <c r="C6" s="18" t="s">
        <v>32</v>
      </c>
      <c r="D6" s="18" t="s">
        <v>25</v>
      </c>
      <c r="E6" s="18" t="s">
        <v>35</v>
      </c>
      <c r="F6" s="18" t="s">
        <v>32</v>
      </c>
    </row>
    <row r="7">
      <c r="A7" s="23"/>
      <c r="B7" s="22" t="s">
        <v>39</v>
      </c>
      <c r="C7" s="26">
        <v>0.0</v>
      </c>
      <c r="D7" s="23"/>
      <c r="E7" s="22" t="s">
        <v>41</v>
      </c>
      <c r="F7" s="26">
        <v>0.0</v>
      </c>
    </row>
    <row r="8">
      <c r="A8" s="23"/>
      <c r="B8" s="22" t="s">
        <v>42</v>
      </c>
      <c r="C8" s="26">
        <v>0.0</v>
      </c>
      <c r="D8" s="23"/>
      <c r="E8" s="22" t="s">
        <v>43</v>
      </c>
      <c r="F8" s="26">
        <v>0.0</v>
      </c>
    </row>
    <row r="9">
      <c r="A9" s="23"/>
      <c r="B9" s="22" t="s">
        <v>45</v>
      </c>
      <c r="C9" s="28" t="str">
        <f>F9-C7-C8</f>
        <v>#NAME?</v>
      </c>
      <c r="D9" s="23"/>
      <c r="E9" s="22" t="s">
        <v>52</v>
      </c>
      <c r="F9" s="28" t="str">
        <f>Statement_of_P&amp;L!D19</f>
        <v>#NAME?</v>
      </c>
    </row>
    <row r="10">
      <c r="A10" s="31"/>
      <c r="B10" s="32" t="s">
        <v>65</v>
      </c>
      <c r="C10" s="33" t="str">
        <f>SUM(C7:C9)</f>
        <v>#NAME?</v>
      </c>
      <c r="D10" s="31"/>
      <c r="E10" s="32" t="s">
        <v>75</v>
      </c>
      <c r="F10" s="33" t="str">
        <f>SUM(F7:F9)</f>
        <v>#NAME?</v>
      </c>
    </row>
    <row r="12">
      <c r="A12" s="3" t="s">
        <v>82</v>
      </c>
      <c r="B12" s="4"/>
      <c r="C12" s="4"/>
      <c r="D12" s="4"/>
      <c r="E12" s="4"/>
      <c r="F12" s="5"/>
    </row>
    <row r="13">
      <c r="A13" s="11" t="s">
        <v>14</v>
      </c>
      <c r="B13" s="12"/>
      <c r="C13" s="13"/>
      <c r="D13" s="11" t="s">
        <v>21</v>
      </c>
      <c r="E13" s="12"/>
      <c r="F13" s="13"/>
    </row>
    <row r="14">
      <c r="A14" s="18" t="s">
        <v>25</v>
      </c>
      <c r="B14" s="18" t="s">
        <v>31</v>
      </c>
      <c r="C14" s="18" t="s">
        <v>32</v>
      </c>
      <c r="D14" s="18" t="s">
        <v>25</v>
      </c>
      <c r="E14" s="18" t="s">
        <v>35</v>
      </c>
      <c r="F14" s="18" t="s">
        <v>32</v>
      </c>
    </row>
    <row r="15">
      <c r="A15" s="23"/>
      <c r="B15" s="22" t="s">
        <v>97</v>
      </c>
      <c r="C15" s="26">
        <v>0.0</v>
      </c>
      <c r="D15" s="23"/>
      <c r="E15" s="22" t="s">
        <v>98</v>
      </c>
      <c r="F15" s="26">
        <v>0.0</v>
      </c>
    </row>
    <row r="16">
      <c r="A16" s="23"/>
      <c r="B16" s="22" t="s">
        <v>100</v>
      </c>
      <c r="C16" s="28">
        <f>F15+F16-C15</f>
        <v>0</v>
      </c>
      <c r="D16" s="23"/>
      <c r="E16" s="22" t="s">
        <v>104</v>
      </c>
      <c r="F16" s="26">
        <v>0.0</v>
      </c>
    </row>
    <row r="17">
      <c r="A17" s="31"/>
      <c r="B17" s="32" t="s">
        <v>65</v>
      </c>
      <c r="C17" s="33">
        <f>SUM(C15:C16)</f>
        <v>0</v>
      </c>
      <c r="D17" s="31"/>
      <c r="E17" s="32" t="s">
        <v>75</v>
      </c>
      <c r="F17" s="33">
        <f>SUM(F15:F16)</f>
        <v>0</v>
      </c>
    </row>
    <row r="19">
      <c r="A19" s="3" t="s">
        <v>109</v>
      </c>
      <c r="B19" s="4"/>
      <c r="C19" s="4"/>
      <c r="D19" s="4"/>
      <c r="E19" s="4"/>
      <c r="F19" s="5"/>
    </row>
    <row r="20">
      <c r="A20" s="11" t="s">
        <v>14</v>
      </c>
      <c r="B20" s="12"/>
      <c r="C20" s="13"/>
      <c r="D20" s="11" t="s">
        <v>21</v>
      </c>
      <c r="E20" s="12"/>
      <c r="F20" s="13"/>
    </row>
    <row r="21" ht="15.75" customHeight="1">
      <c r="A21" s="18" t="s">
        <v>25</v>
      </c>
      <c r="B21" s="18" t="s">
        <v>31</v>
      </c>
      <c r="C21" s="18" t="s">
        <v>32</v>
      </c>
      <c r="D21" s="18" t="s">
        <v>25</v>
      </c>
      <c r="E21" s="18" t="s">
        <v>35</v>
      </c>
      <c r="F21" s="18" t="s">
        <v>32</v>
      </c>
    </row>
    <row r="22" ht="15.75" customHeight="1">
      <c r="A22" s="23"/>
      <c r="B22" s="22" t="s">
        <v>111</v>
      </c>
      <c r="C22" s="26">
        <v>0.0</v>
      </c>
      <c r="D22" s="23"/>
      <c r="E22" s="22" t="s">
        <v>112</v>
      </c>
      <c r="F22" s="26">
        <v>0.0</v>
      </c>
    </row>
    <row r="23" ht="15.75" customHeight="1">
      <c r="A23" s="23"/>
      <c r="B23" s="22" t="s">
        <v>114</v>
      </c>
      <c r="C23" s="28">
        <f>F22+F23-C22</f>
        <v>0</v>
      </c>
      <c r="D23" s="23"/>
      <c r="E23" s="22" t="s">
        <v>116</v>
      </c>
      <c r="F23" s="26">
        <v>0.0</v>
      </c>
    </row>
    <row r="24" ht="15.75" customHeight="1">
      <c r="A24" s="31"/>
      <c r="B24" s="32" t="s">
        <v>65</v>
      </c>
      <c r="C24" s="33">
        <f>SUM(C22:C23)</f>
        <v>0</v>
      </c>
      <c r="D24" s="31"/>
      <c r="E24" s="32" t="s">
        <v>75</v>
      </c>
      <c r="F24" s="33">
        <f>SUM(F22:F23)</f>
        <v>0</v>
      </c>
    </row>
    <row r="25" ht="15.75" customHeight="1"/>
    <row r="26" ht="15.75" customHeight="1">
      <c r="A26" s="3" t="s">
        <v>118</v>
      </c>
      <c r="B26" s="4"/>
      <c r="C26" s="4"/>
      <c r="D26" s="4"/>
      <c r="E26" s="4"/>
      <c r="F26" s="5"/>
    </row>
    <row r="27" ht="15.75" customHeight="1">
      <c r="A27" s="11" t="s">
        <v>14</v>
      </c>
      <c r="B27" s="12"/>
      <c r="C27" s="13"/>
      <c r="D27" s="11" t="s">
        <v>21</v>
      </c>
      <c r="E27" s="12"/>
      <c r="F27" s="13"/>
    </row>
    <row r="28" ht="15.75" customHeight="1">
      <c r="A28" s="18" t="s">
        <v>25</v>
      </c>
      <c r="B28" s="18" t="s">
        <v>31</v>
      </c>
      <c r="C28" s="18" t="s">
        <v>32</v>
      </c>
      <c r="D28" s="18" t="s">
        <v>25</v>
      </c>
      <c r="E28" s="18" t="s">
        <v>35</v>
      </c>
      <c r="F28" s="18" t="s">
        <v>32</v>
      </c>
    </row>
    <row r="29" ht="15.75" customHeight="1">
      <c r="A29" s="23"/>
      <c r="B29" s="22" t="s">
        <v>122</v>
      </c>
      <c r="C29" s="26">
        <v>0.0</v>
      </c>
      <c r="D29" s="23"/>
      <c r="E29" s="22" t="s">
        <v>123</v>
      </c>
      <c r="F29" s="26">
        <v>0.0</v>
      </c>
    </row>
    <row r="30" ht="15.75" customHeight="1">
      <c r="A30" s="23"/>
      <c r="B30" s="22" t="s">
        <v>124</v>
      </c>
      <c r="C30" s="28">
        <f>F29+F30-C29</f>
        <v>0</v>
      </c>
      <c r="D30" s="23"/>
      <c r="E30" s="22" t="s">
        <v>125</v>
      </c>
      <c r="F30" s="28">
        <f>PL_Notes!D12</f>
        <v>0</v>
      </c>
    </row>
    <row r="31" ht="15.75" customHeight="1">
      <c r="A31" s="31"/>
      <c r="B31" s="32" t="s">
        <v>65</v>
      </c>
      <c r="C31" s="33">
        <f>SUM(C29:C30)</f>
        <v>0</v>
      </c>
      <c r="D31" s="31"/>
      <c r="E31" s="32" t="s">
        <v>75</v>
      </c>
      <c r="F31" s="33">
        <f>SUM(F29:F30)</f>
        <v>0</v>
      </c>
    </row>
    <row r="32" ht="15.75" customHeight="1"/>
    <row r="33" ht="15.75" customHeight="1">
      <c r="A33" s="3" t="s">
        <v>132</v>
      </c>
      <c r="B33" s="4"/>
      <c r="C33" s="4"/>
      <c r="D33" s="4"/>
      <c r="E33" s="4"/>
      <c r="F33" s="5"/>
    </row>
    <row r="34" ht="15.75" customHeight="1">
      <c r="A34" s="11" t="s">
        <v>14</v>
      </c>
      <c r="B34" s="12"/>
      <c r="C34" s="13"/>
      <c r="D34" s="11" t="s">
        <v>21</v>
      </c>
      <c r="E34" s="12"/>
      <c r="F34" s="13"/>
    </row>
    <row r="35" ht="15.75" customHeight="1">
      <c r="A35" s="18" t="s">
        <v>25</v>
      </c>
      <c r="B35" s="18" t="s">
        <v>31</v>
      </c>
      <c r="C35" s="18" t="s">
        <v>32</v>
      </c>
      <c r="D35" s="18" t="s">
        <v>25</v>
      </c>
      <c r="E35" s="18" t="s">
        <v>35</v>
      </c>
      <c r="F35" s="18" t="s">
        <v>32</v>
      </c>
    </row>
    <row r="36" ht="15.75" customHeight="1">
      <c r="A36" s="23"/>
      <c r="B36" s="22" t="s">
        <v>133</v>
      </c>
      <c r="C36" s="26">
        <v>0.0</v>
      </c>
      <c r="D36" s="23"/>
      <c r="E36" s="22" t="s">
        <v>134</v>
      </c>
      <c r="F36" s="26">
        <v>0.0</v>
      </c>
    </row>
    <row r="37" ht="15.75" customHeight="1">
      <c r="A37" s="23"/>
      <c r="B37" s="22" t="s">
        <v>135</v>
      </c>
      <c r="C37" s="28">
        <f>F36+F37-C36</f>
        <v>0</v>
      </c>
      <c r="D37" s="23"/>
      <c r="E37" s="22" t="s">
        <v>136</v>
      </c>
      <c r="F37" s="26">
        <v>0.0</v>
      </c>
    </row>
    <row r="38" ht="15.75" customHeight="1">
      <c r="A38" s="31"/>
      <c r="B38" s="32" t="s">
        <v>65</v>
      </c>
      <c r="C38" s="33">
        <f>SUM(C36:C37)</f>
        <v>0</v>
      </c>
      <c r="D38" s="31"/>
      <c r="E38" s="32" t="s">
        <v>75</v>
      </c>
      <c r="F38" s="33">
        <f>SUM(F36:F37)</f>
        <v>0</v>
      </c>
    </row>
    <row r="39" ht="15.75" customHeight="1"/>
    <row r="40" ht="15.75" customHeight="1">
      <c r="A40" s="3" t="s">
        <v>137</v>
      </c>
      <c r="B40" s="4"/>
      <c r="C40" s="4"/>
      <c r="D40" s="4"/>
      <c r="E40" s="4"/>
      <c r="F40" s="5"/>
    </row>
    <row r="41" ht="15.75" customHeight="1">
      <c r="A41" s="11" t="s">
        <v>14</v>
      </c>
      <c r="B41" s="12"/>
      <c r="C41" s="13"/>
      <c r="D41" s="11" t="s">
        <v>21</v>
      </c>
      <c r="E41" s="12"/>
      <c r="F41" s="13"/>
    </row>
    <row r="42" ht="15.75" customHeight="1">
      <c r="A42" s="18" t="s">
        <v>25</v>
      </c>
      <c r="B42" s="18" t="s">
        <v>31</v>
      </c>
      <c r="C42" s="18" t="s">
        <v>32</v>
      </c>
      <c r="D42" s="18" t="s">
        <v>25</v>
      </c>
      <c r="E42" s="18" t="s">
        <v>35</v>
      </c>
      <c r="F42" s="18" t="s">
        <v>32</v>
      </c>
    </row>
    <row r="43" ht="15.75" customHeight="1">
      <c r="A43" s="23"/>
      <c r="B43" s="22" t="s">
        <v>138</v>
      </c>
      <c r="C43" s="26">
        <v>0.0</v>
      </c>
      <c r="D43" s="23"/>
      <c r="E43" s="22" t="s">
        <v>139</v>
      </c>
      <c r="F43" s="28" t="str">
        <f>Statement_of_P&amp;L!D12</f>
        <v>#NAME?</v>
      </c>
    </row>
    <row r="44" ht="15.75" customHeight="1">
      <c r="A44" s="23"/>
      <c r="B44" s="22" t="s">
        <v>140</v>
      </c>
      <c r="C44" s="26">
        <v>0.0</v>
      </c>
      <c r="D44" s="23"/>
      <c r="E44" s="22" t="s">
        <v>141</v>
      </c>
      <c r="F44" s="26">
        <v>0.0</v>
      </c>
    </row>
    <row r="45" ht="15.75" customHeight="1">
      <c r="A45" s="23"/>
      <c r="B45" s="22"/>
      <c r="C45" s="28"/>
      <c r="D45" s="23"/>
      <c r="E45" s="22" t="s">
        <v>142</v>
      </c>
      <c r="F45" s="28" t="str">
        <f>C43+C44-F43-F44</f>
        <v>#NAME?</v>
      </c>
    </row>
    <row r="46" ht="15.75" customHeight="1">
      <c r="A46" s="31"/>
      <c r="B46" s="32" t="s">
        <v>65</v>
      </c>
      <c r="C46" s="33">
        <f>SUM(C43:C45)</f>
        <v>0</v>
      </c>
      <c r="D46" s="31"/>
      <c r="E46" s="32" t="s">
        <v>75</v>
      </c>
      <c r="F46" s="33" t="str">
        <f>SUM(F43:F45)</f>
        <v>#NAME?</v>
      </c>
    </row>
    <row r="47" ht="15.75" customHeight="1"/>
    <row r="48" ht="15.75" customHeight="1">
      <c r="A48" s="3" t="s">
        <v>145</v>
      </c>
      <c r="B48" s="4"/>
      <c r="C48" s="4"/>
      <c r="D48" s="4"/>
      <c r="E48" s="4"/>
      <c r="F48" s="5"/>
    </row>
    <row r="49" ht="15.75" customHeight="1">
      <c r="A49" s="11" t="s">
        <v>14</v>
      </c>
      <c r="B49" s="12"/>
      <c r="C49" s="13"/>
      <c r="D49" s="11" t="s">
        <v>21</v>
      </c>
      <c r="E49" s="12"/>
      <c r="F49" s="13"/>
    </row>
    <row r="50" ht="15.75" customHeight="1">
      <c r="A50" s="18" t="s">
        <v>25</v>
      </c>
      <c r="B50" s="18" t="s">
        <v>31</v>
      </c>
      <c r="C50" s="18" t="s">
        <v>32</v>
      </c>
      <c r="D50" s="18" t="s">
        <v>25</v>
      </c>
      <c r="E50" s="18" t="s">
        <v>35</v>
      </c>
      <c r="F50" s="18" t="s">
        <v>32</v>
      </c>
    </row>
    <row r="51" ht="15.75" customHeight="1">
      <c r="A51" s="23"/>
      <c r="B51" s="22" t="s">
        <v>148</v>
      </c>
      <c r="C51" s="26">
        <v>0.0</v>
      </c>
      <c r="D51" s="23"/>
      <c r="E51" s="22" t="s">
        <v>149</v>
      </c>
      <c r="F51" s="26">
        <v>0.0</v>
      </c>
    </row>
    <row r="52" ht="15.75" customHeight="1">
      <c r="A52" s="23"/>
      <c r="B52" s="22" t="s">
        <v>150</v>
      </c>
      <c r="C52" s="26">
        <v>0.0</v>
      </c>
      <c r="D52" s="23"/>
      <c r="E52" s="22" t="s">
        <v>151</v>
      </c>
      <c r="F52" s="28">
        <f>C51+C52-F51</f>
        <v>0</v>
      </c>
    </row>
    <row r="53" ht="15.75" customHeight="1">
      <c r="A53" s="31"/>
      <c r="B53" s="32" t="s">
        <v>65</v>
      </c>
      <c r="C53" s="33">
        <f>SUM(C51:C52)</f>
        <v>0</v>
      </c>
      <c r="D53" s="31"/>
      <c r="E53" s="32" t="s">
        <v>75</v>
      </c>
      <c r="F53" s="33">
        <f>SUM(F51:F52)</f>
        <v>0</v>
      </c>
    </row>
    <row r="54" ht="15.75" customHeight="1"/>
    <row r="55" ht="15.75" customHeight="1">
      <c r="A55" s="3" t="s">
        <v>152</v>
      </c>
      <c r="B55" s="4"/>
      <c r="C55" s="4"/>
      <c r="D55" s="4"/>
      <c r="E55" s="4"/>
      <c r="F55" s="5"/>
    </row>
    <row r="56" ht="15.75" customHeight="1">
      <c r="A56" s="11" t="s">
        <v>14</v>
      </c>
      <c r="B56" s="12"/>
      <c r="C56" s="13"/>
      <c r="D56" s="11" t="s">
        <v>21</v>
      </c>
      <c r="E56" s="12"/>
      <c r="F56" s="13"/>
    </row>
    <row r="57" ht="15.75" customHeight="1">
      <c r="A57" s="18" t="s">
        <v>25</v>
      </c>
      <c r="B57" s="18" t="s">
        <v>31</v>
      </c>
      <c r="C57" s="18" t="s">
        <v>32</v>
      </c>
      <c r="D57" s="18" t="s">
        <v>25</v>
      </c>
      <c r="E57" s="18" t="s">
        <v>35</v>
      </c>
      <c r="F57" s="18" t="s">
        <v>32</v>
      </c>
    </row>
    <row r="58" ht="15.75" customHeight="1">
      <c r="A58" s="23"/>
      <c r="B58" s="22" t="s">
        <v>153</v>
      </c>
      <c r="C58" s="26">
        <v>0.0</v>
      </c>
      <c r="D58" s="23"/>
      <c r="E58" s="22" t="s">
        <v>154</v>
      </c>
      <c r="F58" s="28">
        <f>C58+C59-F59</f>
        <v>0</v>
      </c>
    </row>
    <row r="59" ht="15.75" customHeight="1">
      <c r="A59" s="23"/>
      <c r="B59" s="22" t="s">
        <v>155</v>
      </c>
      <c r="C59" s="28">
        <f>PL_Notes!D12</f>
        <v>0</v>
      </c>
      <c r="D59" s="23"/>
      <c r="E59" s="22" t="s">
        <v>156</v>
      </c>
      <c r="F59" s="26">
        <v>0.0</v>
      </c>
    </row>
    <row r="60" ht="15.75" customHeight="1">
      <c r="A60" s="31"/>
      <c r="B60" s="32" t="s">
        <v>65</v>
      </c>
      <c r="C60" s="33">
        <f>SUM(C58:C59)</f>
        <v>0</v>
      </c>
      <c r="D60" s="31"/>
      <c r="E60" s="32" t="s">
        <v>75</v>
      </c>
      <c r="F60" s="33">
        <f>SUM(F58:F59)</f>
        <v>0</v>
      </c>
    </row>
    <row r="61" ht="15.75" customHeight="1"/>
    <row r="62" ht="15.75" customHeight="1">
      <c r="A62" s="3" t="s">
        <v>157</v>
      </c>
      <c r="B62" s="4"/>
      <c r="C62" s="4"/>
      <c r="D62" s="4"/>
      <c r="E62" s="4"/>
      <c r="F62" s="5"/>
    </row>
    <row r="63" ht="15.75" customHeight="1">
      <c r="A63" s="11" t="s">
        <v>14</v>
      </c>
      <c r="B63" s="12"/>
      <c r="C63" s="13"/>
      <c r="D63" s="11" t="s">
        <v>21</v>
      </c>
      <c r="E63" s="12"/>
      <c r="F63" s="13"/>
    </row>
    <row r="64" ht="15.75" customHeight="1">
      <c r="A64" s="18" t="s">
        <v>25</v>
      </c>
      <c r="B64" s="18" t="s">
        <v>31</v>
      </c>
      <c r="C64" s="18" t="s">
        <v>32</v>
      </c>
      <c r="D64" s="18" t="s">
        <v>25</v>
      </c>
      <c r="E64" s="18" t="s">
        <v>35</v>
      </c>
      <c r="F64" s="18" t="s">
        <v>32</v>
      </c>
    </row>
    <row r="65" ht="15.75" customHeight="1">
      <c r="A65" s="23"/>
      <c r="B65" s="22" t="s">
        <v>158</v>
      </c>
      <c r="C65" s="26">
        <v>0.0</v>
      </c>
      <c r="D65" s="23"/>
      <c r="E65" s="22" t="s">
        <v>159</v>
      </c>
      <c r="F65" s="26">
        <v>0.0</v>
      </c>
    </row>
    <row r="66" ht="15.75" customHeight="1">
      <c r="A66" s="23"/>
      <c r="B66" s="22" t="s">
        <v>160</v>
      </c>
      <c r="C66" s="28" t="str">
        <f>Statement_of_P&amp;L!D5</f>
        <v>#NAME?</v>
      </c>
      <c r="D66" s="23"/>
      <c r="E66" s="22" t="s">
        <v>161</v>
      </c>
      <c r="F66" s="28" t="str">
        <f>C65+C66-F65</f>
        <v>#NAME?</v>
      </c>
    </row>
    <row r="67" ht="15.75" customHeight="1">
      <c r="A67" s="31"/>
      <c r="B67" s="32" t="s">
        <v>65</v>
      </c>
      <c r="C67" s="33" t="str">
        <f>SUM(C65:C66)</f>
        <v>#NAME?</v>
      </c>
      <c r="D67" s="31"/>
      <c r="E67" s="32" t="s">
        <v>75</v>
      </c>
      <c r="F67" s="33" t="str">
        <f>SUM(F65:F66)</f>
        <v>#NAME?</v>
      </c>
    </row>
    <row r="68" ht="15.75" customHeight="1"/>
    <row r="69" ht="15.75" customHeight="1">
      <c r="A69" s="3" t="s">
        <v>162</v>
      </c>
      <c r="B69" s="4"/>
      <c r="C69" s="4"/>
      <c r="D69" s="4"/>
      <c r="E69" s="4"/>
      <c r="F69" s="5"/>
    </row>
    <row r="70" ht="15.75" customHeight="1">
      <c r="A70" s="11" t="s">
        <v>14</v>
      </c>
      <c r="B70" s="12"/>
      <c r="C70" s="13"/>
      <c r="D70" s="11" t="s">
        <v>21</v>
      </c>
      <c r="E70" s="12"/>
      <c r="F70" s="13"/>
    </row>
    <row r="71" ht="15.75" customHeight="1">
      <c r="A71" s="18" t="s">
        <v>25</v>
      </c>
      <c r="B71" s="18" t="s">
        <v>31</v>
      </c>
      <c r="C71" s="18" t="s">
        <v>32</v>
      </c>
      <c r="D71" s="18" t="s">
        <v>25</v>
      </c>
      <c r="E71" s="18" t="s">
        <v>35</v>
      </c>
      <c r="F71" s="18" t="s">
        <v>32</v>
      </c>
    </row>
    <row r="72" ht="15.75" customHeight="1">
      <c r="A72" s="23"/>
      <c r="B72" s="22" t="s">
        <v>163</v>
      </c>
      <c r="C72" s="26">
        <v>0.0</v>
      </c>
      <c r="D72" s="23"/>
      <c r="E72" s="22" t="s">
        <v>164</v>
      </c>
      <c r="F72" s="26">
        <v>0.0</v>
      </c>
    </row>
    <row r="73" ht="15.75" customHeight="1">
      <c r="A73" s="23"/>
      <c r="B73" s="22" t="s">
        <v>166</v>
      </c>
      <c r="C73" s="26">
        <v>0.0</v>
      </c>
      <c r="D73" s="23"/>
      <c r="E73" s="22" t="s">
        <v>167</v>
      </c>
      <c r="F73" s="28" t="str">
        <f>Statement_of_P&amp;L!D10</f>
        <v>#NAME?</v>
      </c>
    </row>
    <row r="74" ht="15.75" customHeight="1">
      <c r="A74" s="23"/>
      <c r="B74" s="22" t="s">
        <v>168</v>
      </c>
      <c r="C74" s="28" t="str">
        <f>Statement_of_P&amp;L!D6</f>
        <v>#NAME?</v>
      </c>
      <c r="D74" s="23"/>
      <c r="E74" s="22" t="s">
        <v>170</v>
      </c>
      <c r="F74" s="28" t="str">
        <f>Statement_of_P&amp;L!D13</f>
        <v>#NAME?</v>
      </c>
    </row>
    <row r="75" ht="15.75" customHeight="1">
      <c r="A75" s="23"/>
      <c r="B75" s="22" t="s">
        <v>173</v>
      </c>
      <c r="C75" s="26">
        <v>0.0</v>
      </c>
      <c r="D75" s="23"/>
      <c r="E75" s="22" t="s">
        <v>174</v>
      </c>
      <c r="F75" s="26">
        <v>0.0</v>
      </c>
    </row>
    <row r="76" ht="15.75" customHeight="1">
      <c r="A76" s="23"/>
      <c r="B76" s="22"/>
      <c r="C76" s="28"/>
      <c r="D76" s="23"/>
      <c r="E76" s="22" t="s">
        <v>176</v>
      </c>
      <c r="F76" s="26">
        <v>0.0</v>
      </c>
    </row>
    <row r="77" ht="15.75" customHeight="1">
      <c r="A77" s="23"/>
      <c r="B77" s="22"/>
      <c r="C77" s="28"/>
      <c r="D77" s="23"/>
      <c r="E77" s="22" t="s">
        <v>177</v>
      </c>
      <c r="F77" s="26">
        <v>0.0</v>
      </c>
    </row>
    <row r="78" ht="15.75" customHeight="1">
      <c r="A78" s="23"/>
      <c r="B78" s="22"/>
      <c r="C78" s="28"/>
      <c r="D78" s="23"/>
      <c r="E78" s="22" t="s">
        <v>178</v>
      </c>
      <c r="F78" s="28" t="str">
        <f>SUM(C72:C75)-SUM(F72:F77)</f>
        <v>#NAME?</v>
      </c>
    </row>
    <row r="79" ht="15.75" customHeight="1">
      <c r="A79" s="31"/>
      <c r="B79" s="32" t="s">
        <v>65</v>
      </c>
      <c r="C79" s="33" t="str">
        <f>SUM(C72:C78)</f>
        <v>#NAME?</v>
      </c>
      <c r="D79" s="31"/>
      <c r="E79" s="32" t="s">
        <v>75</v>
      </c>
      <c r="F79" s="33" t="str">
        <f>SUM(F72:F78)</f>
        <v>#NAME?</v>
      </c>
    </row>
    <row r="80" ht="15.75" customHeight="1"/>
    <row r="81" ht="15.75" customHeight="1">
      <c r="A81" s="3" t="s">
        <v>180</v>
      </c>
      <c r="B81" s="4"/>
      <c r="C81" s="4"/>
      <c r="D81" s="4"/>
      <c r="E81" s="4"/>
      <c r="F81" s="5"/>
    </row>
    <row r="82" ht="15.75" customHeight="1">
      <c r="A82" s="11" t="s">
        <v>14</v>
      </c>
      <c r="B82" s="12"/>
      <c r="C82" s="13"/>
      <c r="D82" s="11" t="s">
        <v>21</v>
      </c>
      <c r="E82" s="12"/>
      <c r="F82" s="13"/>
    </row>
    <row r="83" ht="15.75" customHeight="1">
      <c r="A83" s="18" t="s">
        <v>25</v>
      </c>
      <c r="B83" s="18" t="s">
        <v>31</v>
      </c>
      <c r="C83" s="18" t="s">
        <v>32</v>
      </c>
      <c r="D83" s="18" t="s">
        <v>25</v>
      </c>
      <c r="E83" s="18" t="s">
        <v>35</v>
      </c>
      <c r="F83" s="18" t="s">
        <v>32</v>
      </c>
    </row>
    <row r="84" ht="15.75" customHeight="1">
      <c r="A84" s="23"/>
      <c r="B84" s="22" t="s">
        <v>182</v>
      </c>
      <c r="C84" s="26">
        <v>0.0</v>
      </c>
      <c r="D84" s="23"/>
      <c r="E84" s="22" t="s">
        <v>183</v>
      </c>
      <c r="F84" s="26">
        <v>0.0</v>
      </c>
    </row>
    <row r="85" ht="15.75" customHeight="1">
      <c r="A85" s="23"/>
      <c r="B85" s="22" t="s">
        <v>184</v>
      </c>
      <c r="C85" s="26">
        <v>0.0</v>
      </c>
      <c r="D85" s="23"/>
      <c r="E85" s="22" t="s">
        <v>185</v>
      </c>
      <c r="F85" s="28">
        <f>C84+C85-F84</f>
        <v>0</v>
      </c>
    </row>
    <row r="86" ht="15.75" customHeight="1">
      <c r="A86" s="31"/>
      <c r="B86" s="32" t="s">
        <v>65</v>
      </c>
      <c r="C86" s="33">
        <f>SUM(C84:C85)</f>
        <v>0</v>
      </c>
      <c r="D86" s="31"/>
      <c r="E86" s="32" t="s">
        <v>75</v>
      </c>
      <c r="F86" s="33">
        <f>SUM(F84:F85)</f>
        <v>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F1"/>
    <mergeCell ref="A2:F2"/>
    <mergeCell ref="A4:F4"/>
    <mergeCell ref="A5:C5"/>
    <mergeCell ref="D5:F5"/>
    <mergeCell ref="A12:F12"/>
    <mergeCell ref="A13:C13"/>
    <mergeCell ref="D13:F13"/>
    <mergeCell ref="A19:F19"/>
    <mergeCell ref="A20:C20"/>
    <mergeCell ref="D20:F20"/>
    <mergeCell ref="A26:F26"/>
    <mergeCell ref="A27:C27"/>
    <mergeCell ref="D27:F27"/>
    <mergeCell ref="A33:F33"/>
    <mergeCell ref="A34:C34"/>
    <mergeCell ref="D34:F34"/>
    <mergeCell ref="A40:F40"/>
    <mergeCell ref="A41:C41"/>
    <mergeCell ref="D41:F41"/>
    <mergeCell ref="A48:F48"/>
    <mergeCell ref="D63:F63"/>
    <mergeCell ref="A69:F69"/>
    <mergeCell ref="A70:C70"/>
    <mergeCell ref="D70:F70"/>
    <mergeCell ref="A81:F81"/>
    <mergeCell ref="A82:C82"/>
    <mergeCell ref="D82:F82"/>
    <mergeCell ref="A49:C49"/>
    <mergeCell ref="D49:F49"/>
    <mergeCell ref="A55:F55"/>
    <mergeCell ref="A56:C56"/>
    <mergeCell ref="D56:F56"/>
    <mergeCell ref="A62:F62"/>
    <mergeCell ref="A63:C6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6.0"/>
    <col customWidth="1" min="4" max="4" width="22.0"/>
    <col customWidth="1" min="5" max="26" width="8.71"/>
  </cols>
  <sheetData>
    <row r="1">
      <c r="A1" s="1" t="str">
        <f>Setup_Control!C6</f>
        <v>M/s. ABC Enterprises</v>
      </c>
    </row>
    <row r="2">
      <c r="A2" s="7" t="str">
        <f>"Statement of Profit and Loss Schedules &amp; Registers for Financial Year Ended " &amp; Setup_Control!C8</f>
        <v>Statement of Profit and Loss Schedules &amp; Registers for Financial Year Ended 31 March 2026</v>
      </c>
    </row>
    <row r="4">
      <c r="A4" s="3" t="s">
        <v>169</v>
      </c>
      <c r="B4" s="4"/>
      <c r="C4" s="4"/>
      <c r="D4" s="5"/>
    </row>
    <row r="5">
      <c r="A5" s="16" t="s">
        <v>171</v>
      </c>
      <c r="B5" s="16" t="s">
        <v>25</v>
      </c>
      <c r="C5" s="16" t="s">
        <v>172</v>
      </c>
      <c r="D5" s="16" t="s">
        <v>32</v>
      </c>
    </row>
    <row r="6">
      <c r="A6" s="23">
        <v>1.0</v>
      </c>
      <c r="B6" s="39"/>
      <c r="C6" s="22"/>
      <c r="D6" s="26">
        <v>0.0</v>
      </c>
    </row>
    <row r="7">
      <c r="A7" s="23">
        <v>2.0</v>
      </c>
      <c r="B7" s="39"/>
      <c r="C7" s="22"/>
      <c r="D7" s="26">
        <v>0.0</v>
      </c>
    </row>
    <row r="8">
      <c r="A8" s="23">
        <v>3.0</v>
      </c>
      <c r="B8" s="39"/>
      <c r="C8" s="22"/>
      <c r="D8" s="26">
        <v>0.0</v>
      </c>
    </row>
    <row r="9">
      <c r="A9" s="23">
        <v>4.0</v>
      </c>
      <c r="B9" s="39"/>
      <c r="C9" s="22"/>
      <c r="D9" s="26">
        <v>0.0</v>
      </c>
    </row>
    <row r="10">
      <c r="A10" s="23">
        <v>5.0</v>
      </c>
      <c r="B10" s="39"/>
      <c r="C10" s="22"/>
      <c r="D10" s="26">
        <v>0.0</v>
      </c>
    </row>
    <row r="11">
      <c r="A11" s="23">
        <v>6.0</v>
      </c>
      <c r="B11" s="39"/>
      <c r="C11" s="22"/>
      <c r="D11" s="26">
        <v>0.0</v>
      </c>
    </row>
    <row r="12">
      <c r="A12" s="31"/>
      <c r="B12" s="31"/>
      <c r="C12" s="40" t="s">
        <v>179</v>
      </c>
      <c r="D12" s="33">
        <f>SUM(D6:D11)</f>
        <v>0</v>
      </c>
    </row>
    <row r="14">
      <c r="A14" s="3" t="s">
        <v>181</v>
      </c>
      <c r="B14" s="4"/>
      <c r="C14" s="4"/>
      <c r="D14" s="5"/>
    </row>
    <row r="15">
      <c r="A15" s="16" t="s">
        <v>171</v>
      </c>
      <c r="B15" s="16" t="s">
        <v>25</v>
      </c>
      <c r="C15" s="16" t="s">
        <v>172</v>
      </c>
      <c r="D15" s="16" t="s">
        <v>32</v>
      </c>
    </row>
    <row r="16">
      <c r="A16" s="23">
        <v>1.0</v>
      </c>
      <c r="B16" s="39"/>
      <c r="C16" s="22"/>
      <c r="D16" s="26">
        <v>0.0</v>
      </c>
    </row>
    <row r="17">
      <c r="A17" s="23">
        <v>2.0</v>
      </c>
      <c r="B17" s="39"/>
      <c r="C17" s="22"/>
      <c r="D17" s="26">
        <v>0.0</v>
      </c>
    </row>
    <row r="18">
      <c r="A18" s="23">
        <v>3.0</v>
      </c>
      <c r="B18" s="39"/>
      <c r="C18" s="22"/>
      <c r="D18" s="26">
        <v>0.0</v>
      </c>
    </row>
    <row r="19">
      <c r="A19" s="23">
        <v>4.0</v>
      </c>
      <c r="B19" s="39"/>
      <c r="C19" s="22"/>
      <c r="D19" s="26">
        <v>0.0</v>
      </c>
    </row>
    <row r="20">
      <c r="A20" s="23">
        <v>5.0</v>
      </c>
      <c r="B20" s="39"/>
      <c r="C20" s="22"/>
      <c r="D20" s="26">
        <v>0.0</v>
      </c>
    </row>
    <row r="21" ht="15.75" customHeight="1">
      <c r="A21" s="23">
        <v>6.0</v>
      </c>
      <c r="B21" s="39"/>
      <c r="C21" s="22"/>
      <c r="D21" s="26">
        <v>0.0</v>
      </c>
    </row>
    <row r="22" ht="15.75" customHeight="1">
      <c r="A22" s="31"/>
      <c r="B22" s="31"/>
      <c r="C22" s="40" t="s">
        <v>186</v>
      </c>
      <c r="D22" s="33">
        <f>SUM(D16:D21)</f>
        <v>0</v>
      </c>
    </row>
    <row r="23" ht="15.75" customHeight="1"/>
    <row r="24" ht="15.75" customHeight="1">
      <c r="A24" s="3" t="s">
        <v>187</v>
      </c>
      <c r="B24" s="4"/>
      <c r="C24" s="4"/>
      <c r="D24" s="5"/>
    </row>
    <row r="25" ht="15.75" customHeight="1">
      <c r="A25" s="16" t="s">
        <v>171</v>
      </c>
      <c r="B25" s="16" t="s">
        <v>25</v>
      </c>
      <c r="C25" s="16" t="s">
        <v>172</v>
      </c>
      <c r="D25" s="16" t="s">
        <v>32</v>
      </c>
    </row>
    <row r="26" ht="15.75" customHeight="1">
      <c r="A26" s="23">
        <v>1.0</v>
      </c>
      <c r="B26" s="39"/>
      <c r="C26" s="22"/>
      <c r="D26" s="26">
        <v>0.0</v>
      </c>
    </row>
    <row r="27" ht="15.75" customHeight="1">
      <c r="A27" s="23">
        <v>2.0</v>
      </c>
      <c r="B27" s="39"/>
      <c r="C27" s="22"/>
      <c r="D27" s="26">
        <v>0.0</v>
      </c>
    </row>
    <row r="28" ht="15.75" customHeight="1">
      <c r="A28" s="23">
        <v>3.0</v>
      </c>
      <c r="B28" s="39"/>
      <c r="C28" s="22"/>
      <c r="D28" s="26">
        <v>0.0</v>
      </c>
    </row>
    <row r="29" ht="15.75" customHeight="1">
      <c r="A29" s="23">
        <v>4.0</v>
      </c>
      <c r="B29" s="39"/>
      <c r="C29" s="22"/>
      <c r="D29" s="26">
        <v>0.0</v>
      </c>
    </row>
    <row r="30" ht="15.75" customHeight="1">
      <c r="A30" s="23">
        <v>5.0</v>
      </c>
      <c r="B30" s="39"/>
      <c r="C30" s="22"/>
      <c r="D30" s="26">
        <v>0.0</v>
      </c>
    </row>
    <row r="31" ht="15.75" customHeight="1">
      <c r="A31" s="23">
        <v>6.0</v>
      </c>
      <c r="B31" s="39"/>
      <c r="C31" s="22"/>
      <c r="D31" s="26">
        <v>0.0</v>
      </c>
    </row>
    <row r="32" ht="15.75" customHeight="1">
      <c r="A32" s="31"/>
      <c r="B32" s="31"/>
      <c r="C32" s="40" t="s">
        <v>188</v>
      </c>
      <c r="D32" s="33">
        <f>SUM(D26:D31)</f>
        <v>0</v>
      </c>
    </row>
    <row r="33" ht="15.75" customHeight="1"/>
    <row r="34" ht="15.75" customHeight="1">
      <c r="A34" s="3" t="s">
        <v>189</v>
      </c>
      <c r="B34" s="4"/>
      <c r="C34" s="4"/>
      <c r="D34" s="5"/>
    </row>
    <row r="35" ht="15.75" customHeight="1">
      <c r="A35" s="16" t="s">
        <v>171</v>
      </c>
      <c r="B35" s="16" t="s">
        <v>25</v>
      </c>
      <c r="C35" s="16" t="s">
        <v>172</v>
      </c>
      <c r="D35" s="16" t="s">
        <v>32</v>
      </c>
    </row>
    <row r="36" ht="15.75" customHeight="1">
      <c r="A36" s="23">
        <v>1.0</v>
      </c>
      <c r="B36" s="39"/>
      <c r="C36" s="22"/>
      <c r="D36" s="26">
        <v>0.0</v>
      </c>
    </row>
    <row r="37" ht="15.75" customHeight="1">
      <c r="A37" s="23">
        <v>2.0</v>
      </c>
      <c r="B37" s="39"/>
      <c r="C37" s="22"/>
      <c r="D37" s="26">
        <v>0.0</v>
      </c>
    </row>
    <row r="38" ht="15.75" customHeight="1">
      <c r="A38" s="23">
        <v>3.0</v>
      </c>
      <c r="B38" s="39"/>
      <c r="C38" s="22"/>
      <c r="D38" s="26">
        <v>0.0</v>
      </c>
    </row>
    <row r="39" ht="15.75" customHeight="1">
      <c r="A39" s="23">
        <v>4.0</v>
      </c>
      <c r="B39" s="39"/>
      <c r="C39" s="22"/>
      <c r="D39" s="26">
        <v>0.0</v>
      </c>
    </row>
    <row r="40" ht="15.75" customHeight="1">
      <c r="A40" s="23">
        <v>5.0</v>
      </c>
      <c r="B40" s="39"/>
      <c r="C40" s="22"/>
      <c r="D40" s="26">
        <v>0.0</v>
      </c>
    </row>
    <row r="41" ht="15.75" customHeight="1">
      <c r="A41" s="23">
        <v>6.0</v>
      </c>
      <c r="B41" s="39"/>
      <c r="C41" s="22"/>
      <c r="D41" s="26">
        <v>0.0</v>
      </c>
    </row>
    <row r="42" ht="15.75" customHeight="1">
      <c r="A42" s="31"/>
      <c r="B42" s="31"/>
      <c r="C42" s="40" t="s">
        <v>190</v>
      </c>
      <c r="D42" s="33">
        <f>SUM(D36:D41)</f>
        <v>0</v>
      </c>
    </row>
    <row r="43" ht="15.75" customHeight="1"/>
    <row r="44" ht="15.75" customHeight="1">
      <c r="A44" s="3" t="s">
        <v>191</v>
      </c>
      <c r="B44" s="4"/>
      <c r="C44" s="4"/>
      <c r="D44" s="5"/>
    </row>
    <row r="45" ht="15.75" customHeight="1">
      <c r="A45" s="16" t="s">
        <v>171</v>
      </c>
      <c r="B45" s="16" t="s">
        <v>25</v>
      </c>
      <c r="C45" s="16" t="s">
        <v>172</v>
      </c>
      <c r="D45" s="16" t="s">
        <v>32</v>
      </c>
    </row>
    <row r="46" ht="15.75" customHeight="1">
      <c r="A46" s="23">
        <v>1.0</v>
      </c>
      <c r="B46" s="39"/>
      <c r="C46" s="22"/>
      <c r="D46" s="26">
        <v>0.0</v>
      </c>
    </row>
    <row r="47" ht="15.75" customHeight="1">
      <c r="A47" s="23">
        <v>2.0</v>
      </c>
      <c r="B47" s="39"/>
      <c r="C47" s="22"/>
      <c r="D47" s="26">
        <v>0.0</v>
      </c>
    </row>
    <row r="48" ht="15.75" customHeight="1">
      <c r="A48" s="23">
        <v>3.0</v>
      </c>
      <c r="B48" s="39"/>
      <c r="C48" s="22"/>
      <c r="D48" s="26">
        <v>0.0</v>
      </c>
    </row>
    <row r="49" ht="15.75" customHeight="1">
      <c r="A49" s="23">
        <v>4.0</v>
      </c>
      <c r="B49" s="39"/>
      <c r="C49" s="22"/>
      <c r="D49" s="26">
        <v>0.0</v>
      </c>
    </row>
    <row r="50" ht="15.75" customHeight="1">
      <c r="A50" s="23">
        <v>5.0</v>
      </c>
      <c r="B50" s="39"/>
      <c r="C50" s="22"/>
      <c r="D50" s="26">
        <v>0.0</v>
      </c>
    </row>
    <row r="51" ht="15.75" customHeight="1">
      <c r="A51" s="23">
        <v>6.0</v>
      </c>
      <c r="B51" s="39"/>
      <c r="C51" s="22"/>
      <c r="D51" s="26">
        <v>0.0</v>
      </c>
    </row>
    <row r="52" ht="15.75" customHeight="1">
      <c r="A52" s="31"/>
      <c r="B52" s="31"/>
      <c r="C52" s="40" t="s">
        <v>192</v>
      </c>
      <c r="D52" s="33">
        <f>SUM(D46:D51)</f>
        <v>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2:D2"/>
    <mergeCell ref="A4:D4"/>
    <mergeCell ref="A14:D14"/>
    <mergeCell ref="A24:D24"/>
    <mergeCell ref="A34:D34"/>
    <mergeCell ref="A44:D4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4.0"/>
    <col customWidth="1" min="3" max="3" width="6.0"/>
    <col customWidth="1" min="4" max="5" width="22.0"/>
    <col customWidth="1" min="6" max="26" width="8.71"/>
  </cols>
  <sheetData>
    <row r="1">
      <c r="A1" s="1" t="str">
        <f>Setup_Control!C6</f>
        <v>M/s. ABC Enterprises</v>
      </c>
    </row>
    <row r="2">
      <c r="A2" s="7" t="str">
        <f>"Cash Flow Statement for the year ended " &amp; Setup_Control!C8 &amp; IF(Setup_Control!C9="Yes", " (Indirect Method as per AS-3)", " (Direct Method as per AS-3)")</f>
        <v>Cash Flow Statement for the year ended 31 March 2026 (Direct Method as per AS-3)</v>
      </c>
    </row>
    <row r="3">
      <c r="D3" s="9" t="str">
        <f>"(" &amp; Setup_Control!C11 &amp; ")"</f>
        <v>(Amount in ₹)</v>
      </c>
    </row>
    <row r="4">
      <c r="A4" s="10"/>
      <c r="B4" s="10" t="s">
        <v>10</v>
      </c>
      <c r="C4" s="10"/>
      <c r="D4" s="10" t="str">
        <f>Setup_Control!C8</f>
        <v>31 March 2026</v>
      </c>
      <c r="E4" s="10" t="str">
        <f>IF(Setup_Control!C9="Yes", Setup_Control!C10, "")</f>
        <v/>
      </c>
    </row>
    <row r="5">
      <c r="A5" s="14" t="s">
        <v>193</v>
      </c>
      <c r="B5" s="15" t="str">
        <f>IF(Setup_Control!C9="Yes", "CASH FLOWS FROM OPERATING ACTIVITIES (INDIRECT METHOD)", "CASH FLOWS FROM OPERATING ACTIVITIES (DIRECT METHOD)")</f>
        <v>CASH FLOWS FROM OPERATING ACTIVITIES (DIRECT METHOD)</v>
      </c>
      <c r="C5" s="19"/>
      <c r="D5" s="19"/>
      <c r="E5" s="19"/>
    </row>
    <row r="6">
      <c r="A6" s="20"/>
      <c r="B6" s="22" t="str">
        <f>IF(Setup_Control!C9="Yes", "Net Profit Before Tax (from Statement of P&amp;L)", "  Cash receipts from customers / sales turnover")</f>
        <v>  Cash receipts from customers / sales turnover</v>
      </c>
      <c r="C6" s="25"/>
      <c r="D6" s="24">
        <f>IF(Setup_Control!C9="Yes", Statement_of_P&amp;L!D17, BS_Notes!C73)</f>
        <v>0</v>
      </c>
      <c r="E6" s="24" t="str">
        <f>IF(Setup_Control!C9="Yes", Statement_of_P&amp;L!E17, "")</f>
        <v/>
      </c>
    </row>
    <row r="7">
      <c r="A7" s="20"/>
      <c r="B7" s="22" t="str">
        <f>IF(Setup_Control!C9="Yes", "  Add: Depreciation and amortization expense", "  Cash receipts from other operating revenue / income")</f>
        <v>  Cash receipts from other operating revenue / income</v>
      </c>
      <c r="C7" s="25"/>
      <c r="D7" s="24" t="str">
        <f>IF(Setup_Control!C9="Yes", Statement_of_P&amp;L!D12, BS_Notes!C74)</f>
        <v>#NAME?</v>
      </c>
      <c r="E7" s="24" t="str">
        <f>IF(Setup_Control!C9="Yes", Statement_of_P&amp;L!E12, "")</f>
        <v/>
      </c>
    </row>
    <row r="8">
      <c r="A8" s="20"/>
      <c r="B8" s="22" t="str">
        <f>IF(Setup_Control!C9="Yes", "  Add: Finance costs / Interest expense", "  Less: Cash paid to suppliers for goods and services")</f>
        <v>  Less: Cash paid to suppliers for goods and services</v>
      </c>
      <c r="C8" s="25"/>
      <c r="D8" s="24">
        <f>IF(Setup_Control!C9="Yes", Statement_of_P&amp;L!D11, -BS_Notes!F72)</f>
        <v>0</v>
      </c>
      <c r="E8" s="24" t="str">
        <f>IF(Setup_Control!C9="Yes", Statement_of_P&amp;L!E11, "")</f>
        <v/>
      </c>
    </row>
    <row r="9">
      <c r="A9" s="20"/>
      <c r="B9" s="22" t="str">
        <f>IF(Setup_Control!C9="Yes", "  Less: Interest / Non-Operating income", "  Less: Cash paid to and on behalf of employees")</f>
        <v>  Less: Cash paid to and on behalf of employees</v>
      </c>
      <c r="C9" s="25"/>
      <c r="D9" s="24" t="str">
        <f>IF(Setup_Control!C9="Yes", -Statement_of_P&amp;L!D6, -BS_Notes!F73)</f>
        <v>#NAME?</v>
      </c>
      <c r="E9" s="24" t="str">
        <f>IF(Setup_Control!C9="Yes", -Statement_of_P&amp;L!E6, "")</f>
        <v/>
      </c>
    </row>
    <row r="10">
      <c r="A10" s="14"/>
      <c r="B10" s="15" t="str">
        <f>IF(Setup_Control!C9="Yes", "Operating Profit before Working Capital changes", "  Less: Cash paid for other operating expenses")</f>
        <v>  Less: Cash paid for other operating expenses</v>
      </c>
      <c r="C10" s="19"/>
      <c r="D10" s="19" t="str">
        <f>IF(Setup_Control!C9="Yes", SUM(D6:D9), -BS_Notes!F74)</f>
        <v>#NAME?</v>
      </c>
      <c r="E10" s="19" t="str">
        <f>IF(Setup_Control!C9="Yes", SUM(E6:E9), "")</f>
        <v/>
      </c>
    </row>
    <row r="11">
      <c r="A11" s="20"/>
      <c r="B11" s="22" t="str">
        <f>IF(Setup_Control!C9="Yes", "  (Increase) / Decrease in Inventories", "Cash Generated from Operations")</f>
        <v>Cash Generated from Operations</v>
      </c>
      <c r="C11" s="25"/>
      <c r="D11" s="24" t="str">
        <f>IF(Setup_Control!C9="Yes", -(BS_Notes!F59-0), SUM(D6:D10))</f>
        <v>#NAME?</v>
      </c>
      <c r="E11" s="24" t="str">
        <f>IF(Setup_Control!C9="Yes", 0, "")</f>
        <v/>
      </c>
    </row>
    <row r="12">
      <c r="A12" s="20"/>
      <c r="B12" s="22" t="str">
        <f>IF(Setup_Control!C9="Yes", "  (Increase) / Decrease in Trade Receivables", "Less: Direct Income Taxes Paid")</f>
        <v>Less: Direct Income Taxes Paid</v>
      </c>
      <c r="C12" s="25"/>
      <c r="D12" s="24">
        <f>IF(Setup_Control!C9="Yes", -(BS_Notes!F66-0), -BS_Notes!C8)</f>
        <v>0</v>
      </c>
      <c r="E12" s="24" t="str">
        <f>IF(Setup_Control!C9="Yes", 0, "")</f>
        <v/>
      </c>
    </row>
    <row r="13">
      <c r="A13" s="20"/>
      <c r="B13" s="22" t="str">
        <f>IF(Setup_Control!C9="Yes", "  (Increase) / Decrease in Short-term Loans &amp; Advances", "")</f>
        <v/>
      </c>
      <c r="C13" s="25"/>
      <c r="D13" s="24">
        <f>IF(Setup_Control!C9="Yes", -(BS_Notes!F85-0), 0)</f>
        <v>0</v>
      </c>
      <c r="E13" s="24" t="str">
        <f>IF(Setup_Control!C9="Yes", 0, "")</f>
        <v/>
      </c>
    </row>
    <row r="14">
      <c r="A14" s="20"/>
      <c r="B14" s="22" t="str">
        <f>IF(Setup_Control!C9="Yes", "  Increase / (Decrease) in Trade Payables", "")</f>
        <v/>
      </c>
      <c r="C14" s="25"/>
      <c r="D14" s="24">
        <f>IF(Setup_Control!C9="Yes", BS_Notes!C30-0, 0)</f>
        <v>0</v>
      </c>
      <c r="E14" s="24" t="str">
        <f>IF(Setup_Control!C9="Yes", 0, "")</f>
        <v/>
      </c>
    </row>
    <row r="15">
      <c r="A15" s="20"/>
      <c r="B15" s="22" t="str">
        <f>IF(Setup_Control!C9="Yes", "  Increase / (Decrease) in Other Current Liabilities", "")</f>
        <v/>
      </c>
      <c r="C15" s="25"/>
      <c r="D15" s="24">
        <f>IF(Setup_Control!C9="Yes", BS_Notes!C37-0, 0)</f>
        <v>0</v>
      </c>
      <c r="E15" s="24" t="str">
        <f>IF(Setup_Control!C9="Yes", 0, "")</f>
        <v/>
      </c>
    </row>
    <row r="16">
      <c r="A16" s="20"/>
      <c r="B16" s="22" t="str">
        <f>IF(Setup_Control!C9="Yes", "Cash Generated from Operations", "")</f>
        <v/>
      </c>
      <c r="C16" s="25"/>
      <c r="D16" s="24">
        <f>IF(Setup_Control!C9="Yes", SUM(D10:D15), 0)</f>
        <v>0</v>
      </c>
      <c r="E16" s="24" t="str">
        <f>IF(Setup_Control!C9="Yes", SUM(E10:E15), "")</f>
        <v/>
      </c>
    </row>
    <row r="17">
      <c r="A17" s="20"/>
      <c r="B17" s="22" t="str">
        <f>IF(Setup_Control!C9="Yes", "Less: Direct Income Taxes Paid", "")</f>
        <v/>
      </c>
      <c r="C17" s="25"/>
      <c r="D17" s="24">
        <f>IF(Setup_Control!C9="Yes", -BS_Notes!C8, 0)</f>
        <v>0</v>
      </c>
      <c r="E17" s="24" t="str">
        <f>IF(Setup_Control!C9="Yes", 0, "")</f>
        <v/>
      </c>
    </row>
    <row r="18">
      <c r="A18" s="20"/>
      <c r="B18" s="29" t="s">
        <v>198</v>
      </c>
      <c r="C18" s="25"/>
      <c r="D18" s="30" t="str">
        <f>IF(Setup_Control!C9="Yes", D16+D17, D11+D12)</f>
        <v>#NAME?</v>
      </c>
      <c r="E18" s="30" t="str">
        <f>IF(Setup_Control!C9="Yes", E16+E17, "")</f>
        <v/>
      </c>
    </row>
    <row r="19">
      <c r="A19" s="14" t="s">
        <v>199</v>
      </c>
      <c r="B19" s="15" t="s">
        <v>200</v>
      </c>
      <c r="C19" s="19"/>
      <c r="D19" s="19"/>
      <c r="E19" s="19"/>
    </row>
    <row r="20">
      <c r="A20" s="20"/>
      <c r="B20" s="22" t="s">
        <v>201</v>
      </c>
      <c r="C20" s="25"/>
      <c r="D20" s="24">
        <f>-(BS_Notes!C44)</f>
        <v>0</v>
      </c>
      <c r="E20" s="24" t="str">
        <f>IF(Setup_Control!C9="Yes", 0, "")</f>
        <v/>
      </c>
    </row>
    <row r="21" ht="15.75" customHeight="1">
      <c r="A21" s="20"/>
      <c r="B21" s="22" t="s">
        <v>202</v>
      </c>
      <c r="C21" s="25"/>
      <c r="D21" s="24" t="str">
        <f>Statement_of_P&amp;L!D6</f>
        <v>#NAME?</v>
      </c>
      <c r="E21" s="24" t="str">
        <f>IF(Setup_Control!C9="Yes", Statement_of_P&amp;L!E6, "")</f>
        <v/>
      </c>
    </row>
    <row r="22" ht="15.75" customHeight="1">
      <c r="A22" s="20"/>
      <c r="B22" s="29" t="s">
        <v>203</v>
      </c>
      <c r="C22" s="25"/>
      <c r="D22" s="30" t="str">
        <f>SUM(D20:D21)</f>
        <v>#NAME?</v>
      </c>
      <c r="E22" s="30" t="str">
        <f>IF(Setup_Control!C9="Yes", SUM(E20:E21), "")</f>
        <v/>
      </c>
    </row>
    <row r="23" ht="15.75" customHeight="1">
      <c r="A23" s="14" t="s">
        <v>204</v>
      </c>
      <c r="B23" s="15" t="s">
        <v>205</v>
      </c>
      <c r="C23" s="19"/>
      <c r="D23" s="19"/>
      <c r="E23" s="19"/>
    </row>
    <row r="24" ht="15.75" customHeight="1">
      <c r="A24" s="20"/>
      <c r="B24" s="22" t="s">
        <v>206</v>
      </c>
      <c r="C24" s="25"/>
      <c r="D24" s="24">
        <f>BS_Notes!F8</f>
        <v>0</v>
      </c>
      <c r="E24" s="24" t="str">
        <f>IF(Setup_Control!C9="Yes", 0, "")</f>
        <v/>
      </c>
    </row>
    <row r="25" ht="15.75" customHeight="1">
      <c r="A25" s="20"/>
      <c r="B25" s="22" t="s">
        <v>207</v>
      </c>
      <c r="C25" s="25"/>
      <c r="D25" s="24">
        <f>-BS_Notes!C7</f>
        <v>0</v>
      </c>
      <c r="E25" s="24" t="str">
        <f>IF(Setup_Control!C9="Yes", 0, "")</f>
        <v/>
      </c>
    </row>
    <row r="26" ht="15.75" customHeight="1">
      <c r="A26" s="20"/>
      <c r="B26" s="22" t="s">
        <v>208</v>
      </c>
      <c r="C26" s="25"/>
      <c r="D26" s="24">
        <f>BS_Notes!C16-0</f>
        <v>0</v>
      </c>
      <c r="E26" s="24" t="str">
        <f>IF(Setup_Control!C9="Yes", 0, "")</f>
        <v/>
      </c>
    </row>
    <row r="27" ht="15.75" customHeight="1">
      <c r="A27" s="20"/>
      <c r="B27" s="22" t="s">
        <v>209</v>
      </c>
      <c r="C27" s="25"/>
      <c r="D27" s="24">
        <f>BS_Notes!C23-0</f>
        <v>0</v>
      </c>
      <c r="E27" s="24" t="str">
        <f>IF(Setup_Control!C9="Yes", 0, "")</f>
        <v/>
      </c>
    </row>
    <row r="28" ht="15.75" customHeight="1">
      <c r="A28" s="20"/>
      <c r="B28" s="22" t="s">
        <v>210</v>
      </c>
      <c r="C28" s="25"/>
      <c r="D28" s="24" t="str">
        <f>-Statement_of_P&amp;L!D11</f>
        <v>#NAME?</v>
      </c>
      <c r="E28" s="24" t="str">
        <f>IF(Setup_Control!C9="Yes", -Statement_of_P&amp;L!E11, "")</f>
        <v/>
      </c>
    </row>
    <row r="29" ht="15.75" customHeight="1">
      <c r="A29" s="20"/>
      <c r="B29" s="29" t="s">
        <v>211</v>
      </c>
      <c r="C29" s="25"/>
      <c r="D29" s="30" t="str">
        <f>SUM(D24:D28)</f>
        <v>#NAME?</v>
      </c>
      <c r="E29" s="30" t="str">
        <f>IF(Setup_Control!C9="Yes", SUM(E24:E28), "")</f>
        <v/>
      </c>
    </row>
    <row r="30" ht="15.75" customHeight="1">
      <c r="A30" s="35"/>
      <c r="B30" s="36" t="s">
        <v>212</v>
      </c>
      <c r="C30" s="41"/>
      <c r="D30" s="38" t="str">
        <f>D18+D22+D29</f>
        <v>#NAME?</v>
      </c>
      <c r="E30" s="38" t="str">
        <f>IF(Setup_Control!C9="Yes", E18+E22+E29, "")</f>
        <v/>
      </c>
    </row>
    <row r="31" ht="15.75" customHeight="1">
      <c r="A31" s="20"/>
      <c r="B31" s="22" t="s">
        <v>213</v>
      </c>
      <c r="C31" s="25"/>
      <c r="D31" s="24">
        <f>BS_Notes!C72</f>
        <v>0</v>
      </c>
      <c r="E31" s="24" t="str">
        <f>IF(Setup_Control!C9="Yes", 0, "")</f>
        <v/>
      </c>
    </row>
    <row r="32" ht="15.75" customHeight="1">
      <c r="A32" s="35"/>
      <c r="B32" s="36" t="s">
        <v>214</v>
      </c>
      <c r="C32" s="41"/>
      <c r="D32" s="38" t="str">
        <f>D30+D31</f>
        <v>#NAME?</v>
      </c>
      <c r="E32" s="38" t="str">
        <f>IF(Setup_Control!C9="Yes", E30+E31, "")</f>
        <v/>
      </c>
    </row>
    <row r="33" ht="15.75" customHeight="1"/>
    <row r="34" ht="15.75" customHeight="1">
      <c r="A34" s="20"/>
      <c r="B34" s="42" t="s">
        <v>215</v>
      </c>
      <c r="C34" s="25"/>
      <c r="D34" s="43" t="str">
        <f>IF(ROUND(D32-BS_Notes!F78,2)=0,"MATCHED WITH BALANCE SHEET ✓","DIFF: " &amp; TEXT(D32-BS_Notes!F78,"#,##0.00"))</f>
        <v>#NAME?</v>
      </c>
      <c r="E34" s="43" t="str">
        <f>IF(Setup_Control!C9="Yes", IF(ROUND(E32-0,2)=0,"MATCHED WITH BALANCE SHEET ✓","DIFF: " &amp; TEXT(E32-0,"#,##0.00")), "")</f>
        <v/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